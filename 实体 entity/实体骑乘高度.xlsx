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Minecraft\tree-hole\实体 entity\"/>
    </mc:Choice>
  </mc:AlternateContent>
  <xr:revisionPtr revIDLastSave="0" documentId="13_ncr:1_{5A28F616-4B24-4E0E-B975-A882788115F4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1.20.4+组合数据" sheetId="2" r:id="rId1"/>
    <sheet name="1.20.1-组合数据" sheetId="4" r:id="rId2"/>
    <sheet name="1.20.4+测试数据" sheetId="1" r:id="rId3"/>
    <sheet name="1.20.1-测试数据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2" l="1"/>
  <c r="F25" i="2"/>
  <c r="G25" i="2"/>
  <c r="H25" i="2"/>
  <c r="I25" i="2"/>
  <c r="D17" i="1"/>
  <c r="E4" i="2"/>
  <c r="F4" i="2"/>
  <c r="G4" i="2"/>
  <c r="H4" i="2"/>
  <c r="E5" i="2"/>
  <c r="F5" i="2"/>
  <c r="G5" i="2"/>
  <c r="H5" i="2"/>
  <c r="E6" i="2"/>
  <c r="F6" i="2"/>
  <c r="G6" i="2"/>
  <c r="H6" i="2"/>
  <c r="E9" i="2"/>
  <c r="F9" i="2"/>
  <c r="G9" i="2"/>
  <c r="H9" i="2"/>
  <c r="E10" i="2"/>
  <c r="F10" i="2"/>
  <c r="G10" i="2"/>
  <c r="H10" i="2"/>
  <c r="E11" i="2"/>
  <c r="F11" i="2"/>
  <c r="G11" i="2"/>
  <c r="H11" i="2"/>
  <c r="E12" i="2"/>
  <c r="F12" i="2"/>
  <c r="G12" i="2"/>
  <c r="H12" i="2"/>
  <c r="E13" i="2"/>
  <c r="F13" i="2"/>
  <c r="G13" i="2"/>
  <c r="H13" i="2"/>
  <c r="E14" i="2"/>
  <c r="F14" i="2"/>
  <c r="G14" i="2"/>
  <c r="H14" i="2"/>
  <c r="E15" i="2"/>
  <c r="F15" i="2"/>
  <c r="G15" i="2"/>
  <c r="H15" i="2"/>
  <c r="E16" i="2"/>
  <c r="F16" i="2"/>
  <c r="G16" i="2"/>
  <c r="H16" i="2"/>
  <c r="E7" i="2"/>
  <c r="F7" i="2"/>
  <c r="G7" i="2"/>
  <c r="H7" i="2"/>
  <c r="E8" i="2"/>
  <c r="F8" i="2"/>
  <c r="G8" i="2"/>
  <c r="H8" i="2"/>
  <c r="E17" i="2"/>
  <c r="F17" i="2"/>
  <c r="G17" i="2"/>
  <c r="H17" i="2"/>
  <c r="E18" i="2"/>
  <c r="F18" i="2"/>
  <c r="G18" i="2"/>
  <c r="H18" i="2"/>
  <c r="E19" i="2"/>
  <c r="F19" i="2"/>
  <c r="G19" i="2"/>
  <c r="H19" i="2"/>
  <c r="E20" i="2"/>
  <c r="F20" i="2"/>
  <c r="G20" i="2"/>
  <c r="H20" i="2"/>
  <c r="E21" i="2"/>
  <c r="F21" i="2"/>
  <c r="G21" i="2"/>
  <c r="H21" i="2"/>
  <c r="E22" i="2"/>
  <c r="F22" i="2"/>
  <c r="G22" i="2"/>
  <c r="H22" i="2"/>
  <c r="E23" i="2"/>
  <c r="F23" i="2"/>
  <c r="G23" i="2"/>
  <c r="H23" i="2"/>
  <c r="E24" i="2"/>
  <c r="F24" i="2"/>
  <c r="G24" i="2"/>
  <c r="H24" i="2"/>
  <c r="E26" i="2"/>
  <c r="F26" i="2"/>
  <c r="G26" i="2"/>
  <c r="H26" i="2"/>
  <c r="E27" i="2"/>
  <c r="F27" i="2"/>
  <c r="G27" i="2"/>
  <c r="H27" i="2"/>
  <c r="E28" i="2"/>
  <c r="F28" i="2"/>
  <c r="G28" i="2"/>
  <c r="H28" i="2"/>
  <c r="E29" i="2"/>
  <c r="F29" i="2"/>
  <c r="G29" i="2"/>
  <c r="H29" i="2"/>
  <c r="E30" i="2"/>
  <c r="F30" i="2"/>
  <c r="G30" i="2"/>
  <c r="H30" i="2"/>
  <c r="E31" i="2"/>
  <c r="F31" i="2"/>
  <c r="G31" i="2"/>
  <c r="H31" i="2"/>
  <c r="E32" i="2"/>
  <c r="F32" i="2"/>
  <c r="G32" i="2"/>
  <c r="H32" i="2"/>
  <c r="E33" i="2"/>
  <c r="F33" i="2"/>
  <c r="G33" i="2"/>
  <c r="H33" i="2"/>
  <c r="E34" i="2"/>
  <c r="F34" i="2"/>
  <c r="G34" i="2"/>
  <c r="H34" i="2"/>
  <c r="E35" i="2"/>
  <c r="F35" i="2"/>
  <c r="G35" i="2"/>
  <c r="H35" i="2"/>
  <c r="E36" i="2"/>
  <c r="F36" i="2"/>
  <c r="G36" i="2"/>
  <c r="H36" i="2"/>
  <c r="E37" i="2"/>
  <c r="F37" i="2"/>
  <c r="G37" i="2"/>
  <c r="H37" i="2"/>
  <c r="E3" i="2"/>
  <c r="F3" i="2"/>
  <c r="G3" i="2"/>
  <c r="H3" i="2"/>
  <c r="E4" i="4"/>
  <c r="F4" i="4"/>
  <c r="G4" i="4"/>
  <c r="H4" i="4"/>
  <c r="E5" i="4"/>
  <c r="F5" i="4"/>
  <c r="G5" i="4"/>
  <c r="H5" i="4"/>
  <c r="E6" i="4"/>
  <c r="F6" i="4"/>
  <c r="G6" i="4"/>
  <c r="H6" i="4"/>
  <c r="E7" i="4"/>
  <c r="F7" i="4"/>
  <c r="G7" i="4"/>
  <c r="H7" i="4"/>
  <c r="E8" i="4"/>
  <c r="F8" i="4"/>
  <c r="G8" i="4"/>
  <c r="H8" i="4"/>
  <c r="E9" i="4"/>
  <c r="F9" i="4"/>
  <c r="G9" i="4"/>
  <c r="H9" i="4"/>
  <c r="E10" i="4"/>
  <c r="F10" i="4"/>
  <c r="G10" i="4"/>
  <c r="H10" i="4"/>
  <c r="E11" i="4"/>
  <c r="F11" i="4"/>
  <c r="G11" i="4"/>
  <c r="H11" i="4"/>
  <c r="E12" i="4"/>
  <c r="F12" i="4"/>
  <c r="G12" i="4"/>
  <c r="H12" i="4"/>
  <c r="E13" i="4"/>
  <c r="F13" i="4"/>
  <c r="G13" i="4"/>
  <c r="H13" i="4"/>
  <c r="E14" i="4"/>
  <c r="F14" i="4"/>
  <c r="G14" i="4"/>
  <c r="H14" i="4"/>
  <c r="E15" i="4"/>
  <c r="F15" i="4"/>
  <c r="G15" i="4"/>
  <c r="H15" i="4"/>
  <c r="E16" i="4"/>
  <c r="F16" i="4"/>
  <c r="G16" i="4"/>
  <c r="H16" i="4"/>
  <c r="E17" i="4"/>
  <c r="F17" i="4"/>
  <c r="G17" i="4"/>
  <c r="H17" i="4"/>
  <c r="E18" i="4"/>
  <c r="F18" i="4"/>
  <c r="G18" i="4"/>
  <c r="H18" i="4"/>
  <c r="E19" i="4"/>
  <c r="F19" i="4"/>
  <c r="G19" i="4"/>
  <c r="H19" i="4"/>
  <c r="E20" i="4"/>
  <c r="F20" i="4"/>
  <c r="G20" i="4"/>
  <c r="H20" i="4"/>
  <c r="E21" i="4"/>
  <c r="F21" i="4"/>
  <c r="G21" i="4"/>
  <c r="H21" i="4"/>
  <c r="E22" i="4"/>
  <c r="F22" i="4"/>
  <c r="G22" i="4"/>
  <c r="H22" i="4"/>
  <c r="E23" i="4"/>
  <c r="F23" i="4"/>
  <c r="G23" i="4"/>
  <c r="H23" i="4"/>
  <c r="E24" i="4"/>
  <c r="F24" i="4"/>
  <c r="G24" i="4"/>
  <c r="H24" i="4"/>
  <c r="E25" i="4"/>
  <c r="F25" i="4"/>
  <c r="G25" i="4"/>
  <c r="H25" i="4"/>
  <c r="E26" i="4"/>
  <c r="F26" i="4"/>
  <c r="G26" i="4"/>
  <c r="H26" i="4"/>
  <c r="E27" i="4"/>
  <c r="F27" i="4"/>
  <c r="G27" i="4"/>
  <c r="H27" i="4"/>
  <c r="E28" i="4"/>
  <c r="F28" i="4"/>
  <c r="G28" i="4"/>
  <c r="H28" i="4"/>
  <c r="E29" i="4"/>
  <c r="F29" i="4"/>
  <c r="G29" i="4"/>
  <c r="H29" i="4"/>
  <c r="E30" i="4"/>
  <c r="F30" i="4"/>
  <c r="G30" i="4"/>
  <c r="H30" i="4"/>
  <c r="E31" i="4"/>
  <c r="F31" i="4"/>
  <c r="G31" i="4"/>
  <c r="H31" i="4"/>
  <c r="E32" i="4"/>
  <c r="F32" i="4"/>
  <c r="G32" i="4"/>
  <c r="H32" i="4"/>
  <c r="E33" i="4"/>
  <c r="F33" i="4"/>
  <c r="G33" i="4"/>
  <c r="H33" i="4"/>
  <c r="E34" i="4"/>
  <c r="F34" i="4"/>
  <c r="G34" i="4"/>
  <c r="H34" i="4"/>
  <c r="E35" i="4"/>
  <c r="F35" i="4"/>
  <c r="G35" i="4"/>
  <c r="H35" i="4"/>
  <c r="E36" i="4"/>
  <c r="F36" i="4"/>
  <c r="G36" i="4"/>
  <c r="H36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H3" i="4"/>
  <c r="G3" i="4"/>
  <c r="F3" i="4"/>
  <c r="E3" i="4"/>
  <c r="D24" i="3"/>
  <c r="D23" i="3"/>
  <c r="D22" i="3"/>
  <c r="D20" i="3"/>
  <c r="D18" i="3"/>
  <c r="D16" i="3"/>
  <c r="D15" i="3"/>
  <c r="D14" i="3"/>
  <c r="D13" i="3"/>
  <c r="D12" i="3"/>
  <c r="D11" i="3"/>
  <c r="D10" i="3"/>
  <c r="D9" i="3"/>
  <c r="D8" i="3"/>
  <c r="D7" i="3"/>
  <c r="D6" i="3"/>
  <c r="D4" i="3"/>
  <c r="D3" i="3"/>
  <c r="D4" i="1"/>
  <c r="D6" i="1"/>
  <c r="D7" i="1"/>
  <c r="D8" i="1"/>
  <c r="D9" i="1"/>
  <c r="D10" i="1"/>
  <c r="D11" i="1"/>
  <c r="D12" i="1"/>
  <c r="D13" i="1"/>
  <c r="D14" i="1"/>
  <c r="D15" i="1"/>
  <c r="D16" i="1"/>
  <c r="D19" i="1"/>
  <c r="D21" i="1"/>
  <c r="D23" i="1"/>
  <c r="D24" i="1"/>
  <c r="D25" i="1"/>
  <c r="D3" i="1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6" i="2"/>
  <c r="I27" i="2"/>
  <c r="I28" i="2"/>
  <c r="I29" i="2"/>
  <c r="I30" i="2"/>
  <c r="I31" i="2"/>
  <c r="I32" i="2"/>
  <c r="I33" i="2"/>
  <c r="I34" i="2"/>
  <c r="I35" i="2"/>
  <c r="I36" i="2"/>
  <c r="I37" i="2"/>
  <c r="I9" i="2"/>
  <c r="C19" i="1"/>
  <c r="C24" i="1"/>
  <c r="C25" i="1"/>
  <c r="C23" i="1"/>
</calcChain>
</file>

<file path=xl/sharedStrings.xml><?xml version="1.0" encoding="utf-8"?>
<sst xmlns="http://schemas.openxmlformats.org/spreadsheetml/2006/main" count="240" uniqueCount="42">
  <si>
    <t>玩家</t>
    <phoneticPr fontId="1" type="noConversion"/>
  </si>
  <si>
    <t>竹筏</t>
    <phoneticPr fontId="1" type="noConversion"/>
  </si>
  <si>
    <t>猪</t>
    <phoneticPr fontId="1" type="noConversion"/>
  </si>
  <si>
    <t>驴</t>
    <phoneticPr fontId="1" type="noConversion"/>
  </si>
  <si>
    <t xml:space="preserve">骡 </t>
    <phoneticPr fontId="1" type="noConversion"/>
  </si>
  <si>
    <t>骷髅马</t>
    <phoneticPr fontId="1" type="noConversion"/>
  </si>
  <si>
    <t>羊驼</t>
    <phoneticPr fontId="1" type="noConversion"/>
  </si>
  <si>
    <t>马</t>
    <phoneticPr fontId="1" type="noConversion"/>
  </si>
  <si>
    <t xml:space="preserve">骆驼 </t>
    <phoneticPr fontId="1" type="noConversion"/>
  </si>
  <si>
    <t>(视线)</t>
    <phoneticPr fontId="1" type="noConversion"/>
  </si>
  <si>
    <t>乘客</t>
    <phoneticPr fontId="1" type="noConversion"/>
  </si>
  <si>
    <t>坐骑</t>
    <phoneticPr fontId="1" type="noConversion"/>
  </si>
  <si>
    <t>矿车</t>
    <phoneticPr fontId="1" type="noConversion"/>
  </si>
  <si>
    <t>船、竹筏</t>
    <phoneticPr fontId="1" type="noConversion"/>
  </si>
  <si>
    <t>像素</t>
    <phoneticPr fontId="1" type="noConversion"/>
  </si>
  <si>
    <t>船</t>
    <phoneticPr fontId="1" type="noConversion"/>
  </si>
  <si>
    <t>炽足兽</t>
    <phoneticPr fontId="1" type="noConversion"/>
  </si>
  <si>
    <t>铁轨</t>
    <phoneticPr fontId="1" type="noConversion"/>
  </si>
  <si>
    <t>船</t>
    <phoneticPr fontId="1" type="noConversion"/>
  </si>
  <si>
    <t>矿车</t>
    <phoneticPr fontId="1" type="noConversion"/>
  </si>
  <si>
    <t>炽足兽</t>
    <phoneticPr fontId="1" type="noConversion"/>
  </si>
  <si>
    <t>羊驼</t>
    <phoneticPr fontId="1" type="noConversion"/>
  </si>
  <si>
    <t>马、驴、骡、骷髅马、僵尸马、骆驼</t>
    <phoneticPr fontId="1" type="noConversion"/>
  </si>
  <si>
    <t>猪、羊驼、行商羊驼、炽足兽</t>
    <phoneticPr fontId="1" type="noConversion"/>
  </si>
  <si>
    <t>乘客偏移</t>
    <phoneticPr fontId="1" type="noConversion"/>
  </si>
  <si>
    <t>组合方式</t>
    <phoneticPr fontId="1" type="noConversion"/>
  </si>
  <si>
    <t>两两组合的原始数据</t>
    <phoneticPr fontId="1" type="noConversion"/>
  </si>
  <si>
    <t>矿车(A)</t>
    <phoneticPr fontId="1" type="noConversion"/>
  </si>
  <si>
    <t>船/竹筏(B)</t>
    <phoneticPr fontId="1" type="noConversion"/>
  </si>
  <si>
    <t>生物(C)</t>
    <phoneticPr fontId="1" type="noConversion"/>
  </si>
  <si>
    <t>生物窒息高度</t>
    <phoneticPr fontId="1" type="noConversion"/>
  </si>
  <si>
    <t>生物视高</t>
    <phoneticPr fontId="1" type="noConversion"/>
  </si>
  <si>
    <t>矿车(A)2</t>
    <phoneticPr fontId="1" type="noConversion"/>
  </si>
  <si>
    <t>组合编号</t>
    <phoneticPr fontId="1" type="noConversion"/>
  </si>
  <si>
    <t>船/竹筏(B)2</t>
    <phoneticPr fontId="1" type="noConversion"/>
  </si>
  <si>
    <t>生物(C)2</t>
    <phoneticPr fontId="1" type="noConversion"/>
  </si>
  <si>
    <t>组合的玩家高度与视高</t>
    <phoneticPr fontId="1" type="noConversion"/>
  </si>
  <si>
    <t>无轨视高</t>
    <phoneticPr fontId="1" type="noConversion"/>
  </si>
  <si>
    <t>有轨视高</t>
    <phoneticPr fontId="1" type="noConversion"/>
  </si>
  <si>
    <t>无轨高度</t>
    <phoneticPr fontId="1" type="noConversion"/>
  </si>
  <si>
    <t>有轨高度</t>
    <phoneticPr fontId="1" type="noConversion"/>
  </si>
  <si>
    <t>快乐恶魂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</si>
</sst>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0" tint="-0.249977111117893"/>
      <name val="等线"/>
      <family val="3"/>
      <charset val="134"/>
      <scheme val="minor"/>
    </font>
    <font>
      <sz val="11"/>
      <color theme="0" tint="-0.249977111117893"/>
      <name val="等线"/>
      <family val="3"/>
      <charset val="134"/>
      <scheme val="minor"/>
    </font>
    <font>
      <b/>
      <i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5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249977111117893"/>
        <name val="等线"/>
        <family val="3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249977111117893"/>
        <name val="等线"/>
        <family val="3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249977111117893"/>
        <name val="等线"/>
        <family val="3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249977111117893"/>
        <name val="等线"/>
        <family val="3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249977111117893"/>
        <name val="等线"/>
        <family val="3"/>
        <charset val="134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0.249977111117893"/>
        <name val="等线"/>
        <family val="3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249977111117893"/>
        <name val="等线"/>
        <family val="3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249977111117893"/>
        <name val="等线"/>
        <family val="3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249977111117893"/>
        <name val="等线"/>
        <family val="3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249977111117893"/>
        <name val="等线"/>
        <family val="3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249977111117893"/>
        <name val="等线"/>
        <family val="3"/>
        <charset val="134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0.249977111117893"/>
        <name val="等线"/>
        <family val="3"/>
        <charset val="134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CBC2B67-FC40-458D-A11A-81B8166D56F6}" name="表7" displayName="表7" ref="A2:M37" totalsRowShown="0" headerRowDxfId="53" dataDxfId="52">
  <autoFilter ref="A2:M37" xr:uid="{ECBC2B67-FC40-458D-A11A-81B8166D56F6}"/>
  <tableColumns count="13">
    <tableColumn id="2" xr3:uid="{1A5B9393-745A-40B5-99A3-4C560CC7B2F3}" name="组合编号" dataDxfId="51"/>
    <tableColumn id="15" xr3:uid="{3B8A2C49-42F1-4867-BF42-2822CDF5E16D}" name="矿车(A)" dataDxfId="50"/>
    <tableColumn id="3" xr3:uid="{48622B21-7452-4541-82EE-988C88AE65A7}" name="船/竹筏(B)" dataDxfId="49"/>
    <tableColumn id="4" xr3:uid="{3ABEA036-6A6C-45C5-AA84-DA2D9F697B3D}" name="生物(C)" dataDxfId="48"/>
    <tableColumn id="8" xr3:uid="{33D96CCA-ACD8-46A8-A267-E02365DAC666}" name="无轨视高" dataDxfId="47">
      <calculatedColumnFormula>SUM(J3:L3)+1.62</calculatedColumnFormula>
    </tableColumn>
    <tableColumn id="9" xr3:uid="{598FE69C-AF3A-46F1-AA80-7BF4B0C020CC}" name="有轨视高" dataDxfId="46">
      <calculatedColumnFormula>SUM(J3:L3)+0.0625+1.62</calculatedColumnFormula>
    </tableColumn>
    <tableColumn id="6" xr3:uid="{F66481C1-D9A2-4C5D-B8A5-F66D7C951622}" name="无轨高度" dataDxfId="45">
      <calculatedColumnFormula>SUM(J3:L3)</calculatedColumnFormula>
    </tableColumn>
    <tableColumn id="7" xr3:uid="{F4B5C6C8-A44A-4E9B-84C0-2F1A0C1E9F82}" name="有轨高度" dataDxfId="44">
      <calculatedColumnFormula>SUM(J3:L3)+0.0625</calculatedColumnFormula>
    </tableColumn>
    <tableColumn id="5" xr3:uid="{B429005B-3C2A-4B29-BC01-522C8E5715A5}" name="生物窒息高度" dataDxfId="43">
      <calculatedColumnFormula>SUM(J3:K3)+M3</calculatedColumnFormula>
    </tableColumn>
    <tableColumn id="10" xr3:uid="{52A6878A-9E03-4079-BD2A-D65774A088C3}" name="矿车(A)2" dataDxfId="42"/>
    <tableColumn id="11" xr3:uid="{53922683-A52C-4BB1-8910-A8475D84622A}" name="船/竹筏(B)2" dataDxfId="41"/>
    <tableColumn id="12" xr3:uid="{A29EB1E0-DDBB-4484-A5E5-D5BB3182F6F2}" name="生物(C)2" dataDxfId="40"/>
    <tableColumn id="13" xr3:uid="{4547FA66-A0F5-4A59-A7D1-7C2E362EC1FF}" name="生物视高" dataDxfId="39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945CDA-254B-4AA6-84AD-AE71E61FA140}" name="表7_2" displayName="表7_2" ref="A2:M36" totalsRowShown="0" headerRowDxfId="38" dataDxfId="37">
  <autoFilter ref="A2:M36" xr:uid="{27945CDA-254B-4AA6-84AD-AE71E61FA140}"/>
  <tableColumns count="13">
    <tableColumn id="2" xr3:uid="{E3252128-2842-475D-836E-19597AAACB23}" name="组合编号" dataDxfId="36"/>
    <tableColumn id="15" xr3:uid="{1A256CD6-F969-4F8A-BF08-782638A053C7}" name="矿车(A)" dataDxfId="35"/>
    <tableColumn id="3" xr3:uid="{139D25BD-5769-4E1F-A9B3-54F4E782916C}" name="船/竹筏(B)" dataDxfId="34"/>
    <tableColumn id="4" xr3:uid="{590934DE-6D63-4E32-A2BD-E6D9EEFB943B}" name="生物(C)" dataDxfId="33"/>
    <tableColumn id="8" xr3:uid="{4205D7C0-92A8-4837-939F-E2DA06176A19}" name="无轨视高" dataDxfId="32">
      <calculatedColumnFormula>SUM(J3:L3)+1.62</calculatedColumnFormula>
    </tableColumn>
    <tableColumn id="9" xr3:uid="{67B3BB23-165B-4512-8ECD-5E32DF8E967C}" name="有轨视高" dataDxfId="31">
      <calculatedColumnFormula>SUM(J3:L3)+0.0625+1.62</calculatedColumnFormula>
    </tableColumn>
    <tableColumn id="6" xr3:uid="{C1854081-3CCD-47A4-8AC7-A6D4D09865AF}" name="无轨高度" dataDxfId="30">
      <calculatedColumnFormula>SUM(J3:L3)</calculatedColumnFormula>
    </tableColumn>
    <tableColumn id="7" xr3:uid="{C13933C2-8933-4303-A309-B7187722B680}" name="有轨高度" dataDxfId="29">
      <calculatedColumnFormula>SUM(J3:L3)+0.0625</calculatedColumnFormula>
    </tableColumn>
    <tableColumn id="5" xr3:uid="{A1FEBA74-5381-4FEA-B4CA-A6B60B7AF7D5}" name="生物窒息高度" dataDxfId="28">
      <calculatedColumnFormula>SUM(J3:K3)+M3</calculatedColumnFormula>
    </tableColumn>
    <tableColumn id="10" xr3:uid="{1664F24A-A49A-43FD-84D6-EA805F9ED691}" name="矿车(A)2" dataDxfId="27"/>
    <tableColumn id="11" xr3:uid="{2AEE38F2-0B0B-4C64-923E-656338A16C44}" name="船/竹筏(B)2" dataDxfId="26"/>
    <tableColumn id="12" xr3:uid="{44162916-A597-48D8-ABD1-2FEC989945C2}" name="生物(C)2" dataDxfId="25"/>
    <tableColumn id="13" xr3:uid="{09CE5323-8E54-4DBC-AA57-EEF2127DE728}" name="生物视高" dataDxfId="24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B65AC-A9AA-48F8-B54F-CBEF804346E2}">
  <dimension ref="A1:O37"/>
  <sheetViews>
    <sheetView tabSelected="1" workbookViewId="0">
      <selection sqref="A1:D1"/>
    </sheetView>
  </sheetViews>
  <sheetFormatPr defaultColWidth="8.9140625" defaultRowHeight="14" x14ac:dyDescent="0.3"/>
  <cols>
    <col min="1" max="1" width="11.75" style="3" bestFit="1" customWidth="1"/>
    <col min="2" max="2" width="10.4140625" style="3" bestFit="1" customWidth="1"/>
    <col min="3" max="3" width="13.25" style="3" bestFit="1" customWidth="1"/>
    <col min="4" max="4" width="10.33203125" style="3" bestFit="1" customWidth="1"/>
    <col min="5" max="6" width="11.75" bestFit="1" customWidth="1"/>
    <col min="7" max="8" width="11.75" style="3" bestFit="1" customWidth="1"/>
    <col min="9" max="9" width="16.75" style="3" bestFit="1" customWidth="1"/>
    <col min="10" max="10" width="11.58203125" style="3" bestFit="1" customWidth="1"/>
    <col min="11" max="11" width="14.4140625" style="3" bestFit="1" customWidth="1"/>
    <col min="12" max="12" width="11.4140625" style="3" bestFit="1" customWidth="1"/>
    <col min="13" max="13" width="11.75" style="6" bestFit="1" customWidth="1"/>
    <col min="14" max="14" width="11.4140625" style="6" bestFit="1" customWidth="1"/>
    <col min="15" max="15" width="11.75" style="6" bestFit="1" customWidth="1"/>
    <col min="16" max="16384" width="8.9140625" style="3"/>
  </cols>
  <sheetData>
    <row r="1" spans="1:15" x14ac:dyDescent="0.3">
      <c r="A1" s="11" t="s">
        <v>25</v>
      </c>
      <c r="B1" s="11"/>
      <c r="C1" s="11"/>
      <c r="D1" s="11"/>
      <c r="E1" s="13" t="s">
        <v>36</v>
      </c>
      <c r="F1" s="13"/>
      <c r="G1" s="13"/>
      <c r="H1" s="13"/>
      <c r="I1" s="8"/>
      <c r="J1" s="12" t="s">
        <v>26</v>
      </c>
      <c r="K1" s="12"/>
      <c r="L1" s="12"/>
      <c r="M1" s="12"/>
      <c r="N1" s="3"/>
      <c r="O1" s="3"/>
    </row>
    <row r="2" spans="1:15" s="1" customFormat="1" x14ac:dyDescent="0.3">
      <c r="A2" s="1" t="s">
        <v>33</v>
      </c>
      <c r="B2" s="1" t="s">
        <v>27</v>
      </c>
      <c r="C2" s="1" t="s">
        <v>28</v>
      </c>
      <c r="D2" s="1" t="s">
        <v>29</v>
      </c>
      <c r="E2" s="4" t="s">
        <v>37</v>
      </c>
      <c r="F2" s="4" t="s">
        <v>38</v>
      </c>
      <c r="G2" s="4" t="s">
        <v>39</v>
      </c>
      <c r="H2" s="4" t="s">
        <v>40</v>
      </c>
      <c r="I2" s="7" t="s">
        <v>30</v>
      </c>
      <c r="J2" s="5" t="s">
        <v>32</v>
      </c>
      <c r="K2" s="5" t="s">
        <v>34</v>
      </c>
      <c r="L2" s="5" t="s">
        <v>35</v>
      </c>
      <c r="M2" s="5" t="s">
        <v>31</v>
      </c>
    </row>
    <row r="3" spans="1:15" x14ac:dyDescent="0.3">
      <c r="A3" s="3">
        <v>0</v>
      </c>
      <c r="B3" s="2"/>
      <c r="E3" s="3">
        <f>SUM(J3:L3)+1.62</f>
        <v>1.62</v>
      </c>
      <c r="F3" s="3">
        <f>SUM(J3:L3)+0.0625+1.62</f>
        <v>1.6825000000000001</v>
      </c>
      <c r="G3" s="3">
        <f>SUM(J3:L3)</f>
        <v>0</v>
      </c>
      <c r="H3" s="3">
        <f>SUM(J3:L3)+0.0625</f>
        <v>6.25E-2</v>
      </c>
      <c r="J3" s="6"/>
      <c r="K3" s="6"/>
      <c r="L3" s="6"/>
      <c r="N3" s="3"/>
      <c r="O3" s="3"/>
    </row>
    <row r="4" spans="1:15" x14ac:dyDescent="0.3">
      <c r="A4" s="3">
        <v>1</v>
      </c>
      <c r="B4" s="2" t="s">
        <v>12</v>
      </c>
      <c r="E4" s="3">
        <f>SUM(J4:L4)+1.62</f>
        <v>1.2075</v>
      </c>
      <c r="F4" s="3">
        <f>SUM(J4:L4)+0.0625+1.62</f>
        <v>1.27</v>
      </c>
      <c r="G4" s="3">
        <f>SUM(J4:L4)</f>
        <v>-0.41249999999999998</v>
      </c>
      <c r="H4" s="3">
        <f>SUM(J4:L4)+0.0625</f>
        <v>-0.35</v>
      </c>
      <c r="J4" s="6">
        <v>-0.41249999999999998</v>
      </c>
      <c r="K4" s="6"/>
      <c r="L4" s="6"/>
      <c r="N4" s="3"/>
      <c r="O4" s="3"/>
    </row>
    <row r="5" spans="1:15" x14ac:dyDescent="0.3">
      <c r="A5" s="3">
        <v>2</v>
      </c>
      <c r="B5" s="2"/>
      <c r="C5" s="3" t="s">
        <v>18</v>
      </c>
      <c r="E5" s="3">
        <f>SUM(J5:L5)+1.62</f>
        <v>1.2075</v>
      </c>
      <c r="F5" s="3">
        <f>SUM(J5:L5)+0.0625+1.62</f>
        <v>1.27</v>
      </c>
      <c r="G5" s="3">
        <f>SUM(J5:L5)</f>
        <v>-0.41249999999999998</v>
      </c>
      <c r="H5" s="3">
        <f>SUM(J5:L5)+0.0625</f>
        <v>-0.35</v>
      </c>
      <c r="J5" s="6"/>
      <c r="K5" s="6">
        <v>-0.41249999999999998</v>
      </c>
      <c r="L5" s="6"/>
      <c r="N5" s="3"/>
      <c r="O5" s="3"/>
    </row>
    <row r="6" spans="1:15" x14ac:dyDescent="0.3">
      <c r="A6" s="3">
        <v>3</v>
      </c>
      <c r="C6" s="2" t="s">
        <v>1</v>
      </c>
      <c r="E6" s="3">
        <f>SUM(J6:L6)+1.62</f>
        <v>1.52</v>
      </c>
      <c r="F6" s="3">
        <f>SUM(J6:L6)+0.0625+1.62</f>
        <v>1.5825</v>
      </c>
      <c r="G6" s="3">
        <f>SUM(J6:L6)</f>
        <v>-0.1</v>
      </c>
      <c r="H6" s="3">
        <f>SUM(J6:L6)+0.0625</f>
        <v>-3.7500000000000006E-2</v>
      </c>
      <c r="J6" s="6"/>
      <c r="K6" s="6">
        <v>-0.1</v>
      </c>
      <c r="L6" s="6"/>
      <c r="N6" s="3"/>
      <c r="O6" s="3"/>
    </row>
    <row r="7" spans="1:15" x14ac:dyDescent="0.3">
      <c r="A7" s="3">
        <v>4</v>
      </c>
      <c r="B7" s="2" t="s">
        <v>12</v>
      </c>
      <c r="C7" s="3" t="s">
        <v>18</v>
      </c>
      <c r="E7" s="3">
        <f>SUM(J7:L7)+1.62</f>
        <v>1.395</v>
      </c>
      <c r="F7" s="3">
        <f>SUM(J7:L7)+0.0625+1.62</f>
        <v>1.4575</v>
      </c>
      <c r="G7" s="3">
        <f>SUM(J7:L7)</f>
        <v>-0.22499999999999998</v>
      </c>
      <c r="H7" s="3">
        <f>SUM(J7:L7)+0.0625</f>
        <v>-0.16249999999999998</v>
      </c>
      <c r="I7" s="2"/>
      <c r="J7" s="6">
        <v>0.1875</v>
      </c>
      <c r="K7" s="6">
        <v>-0.41249999999999998</v>
      </c>
      <c r="L7" s="6"/>
      <c r="N7" s="3"/>
      <c r="O7" s="3"/>
    </row>
    <row r="8" spans="1:15" x14ac:dyDescent="0.3">
      <c r="A8" s="3">
        <v>5</v>
      </c>
      <c r="B8" s="3" t="s">
        <v>19</v>
      </c>
      <c r="C8" s="2" t="s">
        <v>1</v>
      </c>
      <c r="E8" s="3">
        <f>SUM(J8:L8)+1.62</f>
        <v>1.7075</v>
      </c>
      <c r="F8" s="3">
        <f>SUM(J8:L8)+0.0625+1.62</f>
        <v>1.77</v>
      </c>
      <c r="G8" s="3">
        <f>SUM(J8:L8)</f>
        <v>8.7499999999999994E-2</v>
      </c>
      <c r="H8" s="3">
        <f>SUM(J8:L8)+0.0625</f>
        <v>0.15</v>
      </c>
      <c r="I8" s="2"/>
      <c r="J8" s="6">
        <v>0.1875</v>
      </c>
      <c r="K8" s="6">
        <v>-0.1</v>
      </c>
      <c r="L8" s="6"/>
      <c r="N8" s="3"/>
      <c r="O8" s="3"/>
    </row>
    <row r="9" spans="1:15" x14ac:dyDescent="0.3">
      <c r="A9" s="3">
        <v>6</v>
      </c>
      <c r="D9" s="2" t="s">
        <v>2</v>
      </c>
      <c r="E9" s="3">
        <f>SUM(J9:L9)+1.62</f>
        <v>1.8887500000000002</v>
      </c>
      <c r="F9" s="3">
        <f>SUM(J9:L9)+0.0625+1.62</f>
        <v>1.9512500000000002</v>
      </c>
      <c r="G9" s="3">
        <f>SUM(J9:L9)</f>
        <v>0.26874999999999999</v>
      </c>
      <c r="H9" s="3">
        <f>SUM(J9:L9)+0.0625</f>
        <v>0.33124999999999999</v>
      </c>
      <c r="I9" s="2">
        <f>SUM(J9:K9)+M9</f>
        <v>0.76500000000000001</v>
      </c>
      <c r="J9" s="6"/>
      <c r="K9" s="6"/>
      <c r="L9" s="6">
        <v>0.26874999999999999</v>
      </c>
      <c r="M9" s="6">
        <v>0.76500000000000001</v>
      </c>
      <c r="N9" s="3"/>
      <c r="O9" s="3"/>
    </row>
    <row r="10" spans="1:15" x14ac:dyDescent="0.3">
      <c r="A10" s="3">
        <v>7</v>
      </c>
      <c r="D10" s="2" t="s">
        <v>3</v>
      </c>
      <c r="E10" s="3">
        <f>SUM(J10:L10)+1.62</f>
        <v>2.1325000000000003</v>
      </c>
      <c r="F10" s="3">
        <f>SUM(J10:L10)+0.0625+1.62</f>
        <v>2.1950000000000003</v>
      </c>
      <c r="G10" s="3">
        <f>SUM(J10:L10)</f>
        <v>0.51249999999999996</v>
      </c>
      <c r="H10" s="3">
        <f>SUM(J10:L10)+0.0625</f>
        <v>0.57499999999999996</v>
      </c>
      <c r="I10" s="2">
        <f>SUM(J10:K10)+M10</f>
        <v>1.425</v>
      </c>
      <c r="J10" s="6"/>
      <c r="K10" s="6"/>
      <c r="L10" s="6">
        <v>0.51249999999999996</v>
      </c>
      <c r="M10" s="6">
        <v>1.425</v>
      </c>
      <c r="N10" s="3"/>
      <c r="O10" s="3"/>
    </row>
    <row r="11" spans="1:15" x14ac:dyDescent="0.3">
      <c r="A11" s="3">
        <v>8</v>
      </c>
      <c r="D11" s="2" t="s">
        <v>4</v>
      </c>
      <c r="E11" s="3">
        <f>SUM(J11:L11)+1.62</f>
        <v>2.2324999999999999</v>
      </c>
      <c r="F11" s="3">
        <f>SUM(J11:L11)+0.0625+1.62</f>
        <v>2.2949999999999999</v>
      </c>
      <c r="G11" s="3">
        <f>SUM(J11:L11)</f>
        <v>0.61250000000000004</v>
      </c>
      <c r="H11" s="3">
        <f>SUM(J11:L11)+0.0625</f>
        <v>0.67500000000000004</v>
      </c>
      <c r="I11" s="2">
        <f>SUM(J11:K11)+M11</f>
        <v>1.52</v>
      </c>
      <c r="J11" s="6"/>
      <c r="K11" s="6"/>
      <c r="L11" s="6">
        <v>0.61250000000000004</v>
      </c>
      <c r="M11" s="6">
        <v>1.52</v>
      </c>
      <c r="N11" s="3"/>
      <c r="O11" s="3"/>
    </row>
    <row r="12" spans="1:15" x14ac:dyDescent="0.3">
      <c r="A12" s="3">
        <v>9</v>
      </c>
      <c r="D12" s="2" t="s">
        <v>5</v>
      </c>
      <c r="E12" s="3">
        <f>SUM(J12:L12)+1.62</f>
        <v>2.3387500000000001</v>
      </c>
      <c r="F12" s="3">
        <f>SUM(J12:L12)+0.0625+1.62</f>
        <v>2.4012500000000001</v>
      </c>
      <c r="G12" s="3">
        <f>SUM(J12:L12)</f>
        <v>0.71875</v>
      </c>
      <c r="H12" s="3">
        <f>SUM(J12:L12)+0.0625</f>
        <v>0.78125</v>
      </c>
      <c r="I12" s="2">
        <f>SUM(J12:K12)+M12</f>
        <v>1.52</v>
      </c>
      <c r="J12" s="6"/>
      <c r="K12" s="6"/>
      <c r="L12" s="6">
        <v>0.71875</v>
      </c>
      <c r="M12" s="6">
        <v>1.52</v>
      </c>
      <c r="N12" s="3"/>
      <c r="O12" s="3"/>
    </row>
    <row r="13" spans="1:15" x14ac:dyDescent="0.3">
      <c r="A13" s="3">
        <v>10</v>
      </c>
      <c r="D13" s="2" t="s">
        <v>6</v>
      </c>
      <c r="E13" s="3">
        <f>SUM(J13:L13)+1.62</f>
        <v>2.39</v>
      </c>
      <c r="F13" s="3">
        <f>SUM(J13:L13)+0.0625+1.62</f>
        <v>2.4525000000000001</v>
      </c>
      <c r="G13" s="3">
        <f>SUM(J13:L13)</f>
        <v>0.77</v>
      </c>
      <c r="H13" s="3">
        <f>SUM(J13:L13)+0.0625</f>
        <v>0.83250000000000002</v>
      </c>
      <c r="I13" s="2">
        <f>SUM(J13:K13)+M13</f>
        <v>1.7765</v>
      </c>
      <c r="J13" s="6"/>
      <c r="K13" s="6"/>
      <c r="L13" s="6">
        <v>0.77</v>
      </c>
      <c r="M13" s="6">
        <v>1.7765</v>
      </c>
      <c r="N13" s="3"/>
      <c r="O13" s="3"/>
    </row>
    <row r="14" spans="1:15" x14ac:dyDescent="0.3">
      <c r="A14" s="3">
        <v>11</v>
      </c>
      <c r="D14" s="2" t="s">
        <v>7</v>
      </c>
      <c r="E14" s="3">
        <f>SUM(J14:L14)+1.62</f>
        <v>2.4637500000000001</v>
      </c>
      <c r="F14" s="3">
        <f>SUM(J14:L14)+0.0625+1.62</f>
        <v>2.5262500000000001</v>
      </c>
      <c r="G14" s="3">
        <f>SUM(J14:L14)</f>
        <v>0.84375</v>
      </c>
      <c r="H14" s="3">
        <f>SUM(J14:L14)+0.0625</f>
        <v>0.90625</v>
      </c>
      <c r="I14" s="2">
        <f>SUM(J14:K14)+M14</f>
        <v>1.52</v>
      </c>
      <c r="J14" s="6"/>
      <c r="K14" s="6"/>
      <c r="L14" s="6">
        <v>0.84375</v>
      </c>
      <c r="M14" s="6">
        <v>1.52</v>
      </c>
      <c r="N14" s="3"/>
      <c r="O14" s="3"/>
    </row>
    <row r="15" spans="1:15" x14ac:dyDescent="0.3">
      <c r="A15" s="3">
        <v>12</v>
      </c>
      <c r="D15" s="2" t="s">
        <v>16</v>
      </c>
      <c r="E15" s="3">
        <f>SUM(J15:L15)+1.62</f>
        <v>2.72</v>
      </c>
      <c r="F15" s="3">
        <f>SUM(J15:L15)+0.0625+1.62</f>
        <v>2.7825000000000002</v>
      </c>
      <c r="G15" s="3">
        <f>SUM(J15:L15)</f>
        <v>1.1000000000000001</v>
      </c>
      <c r="H15" s="3">
        <f>SUM(J15:L15)+0.0625</f>
        <v>1.1625000000000001</v>
      </c>
      <c r="I15" s="2">
        <f>SUM(J15:K15)+M15</f>
        <v>1.4450000000000001</v>
      </c>
      <c r="J15" s="6"/>
      <c r="K15" s="6"/>
      <c r="L15" s="6">
        <v>1.1000000000000001</v>
      </c>
      <c r="M15" s="6">
        <v>1.4450000000000001</v>
      </c>
      <c r="N15" s="3"/>
      <c r="O15" s="3"/>
    </row>
    <row r="16" spans="1:15" x14ac:dyDescent="0.3">
      <c r="A16" s="3">
        <v>13</v>
      </c>
      <c r="D16" s="2" t="s">
        <v>8</v>
      </c>
      <c r="E16" s="3">
        <f>SUM(J16:L16)+1.62</f>
        <v>3.02</v>
      </c>
      <c r="F16" s="3">
        <f>SUM(J16:L16)+0.0625+1.62</f>
        <v>3.0825</v>
      </c>
      <c r="G16" s="3">
        <f>SUM(J16:L16)</f>
        <v>1.4</v>
      </c>
      <c r="H16" s="3">
        <f>SUM(J16:L16)+0.0625</f>
        <v>1.4624999999999999</v>
      </c>
      <c r="I16" s="2">
        <f>SUM(J16:K16)+M16</f>
        <v>2.2749999999999999</v>
      </c>
      <c r="J16" s="6"/>
      <c r="K16" s="6"/>
      <c r="L16" s="6">
        <v>1.4</v>
      </c>
      <c r="M16" s="6">
        <v>2.2749999999999999</v>
      </c>
      <c r="N16" s="3"/>
      <c r="O16" s="3"/>
    </row>
    <row r="17" spans="1:15" x14ac:dyDescent="0.3">
      <c r="A17" s="3">
        <v>14</v>
      </c>
      <c r="B17" s="2" t="s">
        <v>12</v>
      </c>
      <c r="D17" s="2" t="s">
        <v>2</v>
      </c>
      <c r="E17" s="3">
        <f>SUM(J17:L17)+1.62</f>
        <v>2.0762499999999999</v>
      </c>
      <c r="F17" s="3">
        <f>SUM(J17:L17)+0.0625+1.62</f>
        <v>2.1387499999999999</v>
      </c>
      <c r="G17" s="3">
        <f>SUM(J17:L17)</f>
        <v>0.45624999999999999</v>
      </c>
      <c r="H17" s="3">
        <f>SUM(J17:L17)+0.0625</f>
        <v>0.51875000000000004</v>
      </c>
      <c r="I17" s="2">
        <f>SUM(J17:K17)+M17</f>
        <v>0.95250000000000001</v>
      </c>
      <c r="J17" s="6">
        <v>0.1875</v>
      </c>
      <c r="K17" s="6"/>
      <c r="L17" s="6">
        <v>0.26874999999999999</v>
      </c>
      <c r="M17" s="6">
        <v>0.76500000000000001</v>
      </c>
      <c r="N17" s="3"/>
      <c r="O17" s="3"/>
    </row>
    <row r="18" spans="1:15" x14ac:dyDescent="0.3">
      <c r="A18" s="3">
        <v>15</v>
      </c>
      <c r="B18" s="2" t="s">
        <v>12</v>
      </c>
      <c r="D18" s="2" t="s">
        <v>3</v>
      </c>
      <c r="E18" s="3">
        <f>SUM(J18:L18)+1.62</f>
        <v>2.3200000000000003</v>
      </c>
      <c r="F18" s="3">
        <f>SUM(J18:L18)+0.0625+1.62</f>
        <v>2.3825000000000003</v>
      </c>
      <c r="G18" s="3">
        <f>SUM(J18:L18)</f>
        <v>0.7</v>
      </c>
      <c r="H18" s="3">
        <f>SUM(J18:L18)+0.0625</f>
        <v>0.76249999999999996</v>
      </c>
      <c r="I18" s="2">
        <f>SUM(J18:K18)+M18</f>
        <v>1.6125</v>
      </c>
      <c r="J18" s="6">
        <v>0.1875</v>
      </c>
      <c r="K18" s="6"/>
      <c r="L18" s="6">
        <v>0.51249999999999996</v>
      </c>
      <c r="M18" s="6">
        <v>1.425</v>
      </c>
      <c r="N18" s="3"/>
      <c r="O18" s="3"/>
    </row>
    <row r="19" spans="1:15" x14ac:dyDescent="0.3">
      <c r="A19" s="3">
        <v>16</v>
      </c>
      <c r="B19" s="2" t="s">
        <v>12</v>
      </c>
      <c r="D19" s="2" t="s">
        <v>4</v>
      </c>
      <c r="E19" s="3">
        <f>SUM(J19:L19)+1.62</f>
        <v>2.42</v>
      </c>
      <c r="F19" s="3">
        <f>SUM(J19:L19)+0.0625+1.62</f>
        <v>2.4824999999999999</v>
      </c>
      <c r="G19" s="3">
        <f>SUM(J19:L19)</f>
        <v>0.8</v>
      </c>
      <c r="H19" s="3">
        <f>SUM(J19:L19)+0.0625</f>
        <v>0.86250000000000004</v>
      </c>
      <c r="I19" s="2">
        <f>SUM(J19:K19)+M19</f>
        <v>1.7075</v>
      </c>
      <c r="J19" s="6">
        <v>0.1875</v>
      </c>
      <c r="K19" s="6"/>
      <c r="L19" s="6">
        <v>0.61250000000000004</v>
      </c>
      <c r="M19" s="6">
        <v>1.52</v>
      </c>
      <c r="N19" s="3"/>
      <c r="O19" s="3"/>
    </row>
    <row r="20" spans="1:15" x14ac:dyDescent="0.3">
      <c r="A20" s="3">
        <v>17</v>
      </c>
      <c r="B20" s="2" t="s">
        <v>12</v>
      </c>
      <c r="D20" s="2" t="s">
        <v>5</v>
      </c>
      <c r="E20" s="3">
        <f>SUM(J20:L20)+1.62</f>
        <v>1.3387500000000001</v>
      </c>
      <c r="F20" s="3">
        <f>SUM(J20:L20)+0.0625+1.62</f>
        <v>1.4012500000000001</v>
      </c>
      <c r="G20" s="3">
        <f>SUM(J20:L20)</f>
        <v>-0.28125</v>
      </c>
      <c r="H20" s="3">
        <f>SUM(J20:L20)+0.0625</f>
        <v>-0.21875</v>
      </c>
      <c r="I20" s="2">
        <f>SUM(J20:K20)+M20</f>
        <v>0.52</v>
      </c>
      <c r="J20" s="6">
        <v>-1</v>
      </c>
      <c r="K20" s="6"/>
      <c r="L20" s="6">
        <v>0.71875</v>
      </c>
      <c r="M20" s="6">
        <v>1.52</v>
      </c>
      <c r="N20" s="3"/>
      <c r="O20" s="3"/>
    </row>
    <row r="21" spans="1:15" x14ac:dyDescent="0.3">
      <c r="A21" s="3">
        <v>18</v>
      </c>
      <c r="B21" s="2" t="s">
        <v>12</v>
      </c>
      <c r="D21" s="2" t="s">
        <v>6</v>
      </c>
      <c r="E21" s="3">
        <f>SUM(J21:L21)+1.62</f>
        <v>1.3900000000000001</v>
      </c>
      <c r="F21" s="3">
        <f>SUM(J21:L21)+0.0625+1.62</f>
        <v>1.4525000000000001</v>
      </c>
      <c r="G21" s="3">
        <f>SUM(J21:L21)</f>
        <v>-0.22999999999999998</v>
      </c>
      <c r="H21" s="3">
        <f>SUM(J21:L21)+0.0625</f>
        <v>-0.16749999999999998</v>
      </c>
      <c r="I21" s="2">
        <f>SUM(J21:K21)+M21</f>
        <v>0.77649999999999997</v>
      </c>
      <c r="J21" s="6">
        <v>-1</v>
      </c>
      <c r="K21" s="6"/>
      <c r="L21" s="6">
        <v>0.77</v>
      </c>
      <c r="M21" s="6">
        <v>1.7765</v>
      </c>
      <c r="N21" s="3"/>
      <c r="O21" s="3"/>
    </row>
    <row r="22" spans="1:15" x14ac:dyDescent="0.3">
      <c r="A22" s="3">
        <v>19</v>
      </c>
      <c r="B22" s="2" t="s">
        <v>12</v>
      </c>
      <c r="D22" s="2" t="s">
        <v>7</v>
      </c>
      <c r="E22" s="3">
        <f>SUM(J22:L22)+1.62</f>
        <v>2.6512500000000001</v>
      </c>
      <c r="F22" s="3">
        <f>SUM(J22:L22)+0.0625+1.62</f>
        <v>2.7137500000000001</v>
      </c>
      <c r="G22" s="3">
        <f>SUM(J22:L22)</f>
        <v>1.03125</v>
      </c>
      <c r="H22" s="3">
        <f>SUM(J22:L22)+0.0625</f>
        <v>1.09375</v>
      </c>
      <c r="I22" s="2">
        <f>SUM(J22:K22)+M22</f>
        <v>1.7075</v>
      </c>
      <c r="J22" s="6">
        <v>0.1875</v>
      </c>
      <c r="K22" s="6"/>
      <c r="L22" s="6">
        <v>0.84375</v>
      </c>
      <c r="M22" s="6">
        <v>1.52</v>
      </c>
      <c r="N22" s="3"/>
      <c r="O22" s="3"/>
    </row>
    <row r="23" spans="1:15" x14ac:dyDescent="0.3">
      <c r="A23" s="3">
        <v>20</v>
      </c>
      <c r="B23" s="2" t="s">
        <v>12</v>
      </c>
      <c r="D23" s="2" t="s">
        <v>16</v>
      </c>
      <c r="E23" s="3">
        <f>SUM(J23:L23)+1.62</f>
        <v>2.97</v>
      </c>
      <c r="F23" s="3">
        <f>SUM(J23:L23)+0.0625+1.62</f>
        <v>3.0325000000000002</v>
      </c>
      <c r="G23" s="3">
        <f>SUM(J23:L23)</f>
        <v>1.35</v>
      </c>
      <c r="H23" s="3">
        <f>SUM(J23:L23)+0.0625</f>
        <v>1.4125000000000001</v>
      </c>
      <c r="I23" s="2">
        <f>SUM(J23:K23)+M23</f>
        <v>1.6950000000000001</v>
      </c>
      <c r="J23" s="6">
        <v>0.25</v>
      </c>
      <c r="K23" s="6"/>
      <c r="L23" s="6">
        <v>1.1000000000000001</v>
      </c>
      <c r="M23" s="6">
        <v>1.4450000000000001</v>
      </c>
      <c r="N23" s="3"/>
      <c r="O23" s="3"/>
    </row>
    <row r="24" spans="1:15" x14ac:dyDescent="0.3">
      <c r="A24" s="3">
        <v>21</v>
      </c>
      <c r="B24" s="2" t="s">
        <v>12</v>
      </c>
      <c r="D24" s="2" t="s">
        <v>8</v>
      </c>
      <c r="E24" s="3">
        <f>SUM(J24:L24)+1.62</f>
        <v>3.2075</v>
      </c>
      <c r="F24" s="3">
        <f>SUM(J24:L24)+0.0625+1.62</f>
        <v>3.27</v>
      </c>
      <c r="G24" s="3">
        <f>SUM(J24:L24)</f>
        <v>1.5874999999999999</v>
      </c>
      <c r="H24" s="3">
        <f>SUM(J24:L24)+0.0625</f>
        <v>1.65</v>
      </c>
      <c r="I24" s="2">
        <f>SUM(J24:K24)+M24</f>
        <v>2.4624999999999999</v>
      </c>
      <c r="J24" s="6">
        <v>0.1875</v>
      </c>
      <c r="K24" s="6"/>
      <c r="L24" s="6">
        <v>1.4</v>
      </c>
      <c r="M24" s="6">
        <v>2.2749999999999999</v>
      </c>
      <c r="N24" s="3"/>
      <c r="O24" s="3"/>
    </row>
    <row r="25" spans="1:15" x14ac:dyDescent="0.3">
      <c r="A25" s="2"/>
      <c r="B25" s="2" t="s">
        <v>12</v>
      </c>
      <c r="C25" s="2"/>
      <c r="D25" s="2" t="s">
        <v>41</v>
      </c>
      <c r="E25" s="3">
        <f>SUM(J25:L25)+1.62</f>
        <v>5.7075000000000005</v>
      </c>
      <c r="F25" s="3">
        <f>SUM(J25:L25)+0.0625+1.62</f>
        <v>5.7700000000000005</v>
      </c>
      <c r="G25" s="3">
        <f>SUM(J25:L25)</f>
        <v>4.0875000000000004</v>
      </c>
      <c r="H25" s="3">
        <f>SUM(J25:L25)+0.0625</f>
        <v>4.1500000000000004</v>
      </c>
      <c r="I25" s="2">
        <f>SUM(J25:K25)+M25</f>
        <v>3.2875000000000001</v>
      </c>
      <c r="J25" s="6">
        <v>0.6875</v>
      </c>
      <c r="K25" s="6"/>
      <c r="L25" s="6">
        <v>3.4</v>
      </c>
      <c r="M25" s="6">
        <v>2.6</v>
      </c>
      <c r="N25" s="3"/>
      <c r="O25" s="3"/>
    </row>
    <row r="26" spans="1:15" x14ac:dyDescent="0.3">
      <c r="A26" s="3">
        <v>22</v>
      </c>
      <c r="C26" s="2" t="s">
        <v>15</v>
      </c>
      <c r="D26" s="2" t="s">
        <v>2</v>
      </c>
      <c r="E26" s="3">
        <f>SUM(J26:L26)+1.62</f>
        <v>2.0762499999999999</v>
      </c>
      <c r="F26" s="3">
        <f>SUM(J26:L26)+0.0625+1.62</f>
        <v>2.1387499999999999</v>
      </c>
      <c r="G26" s="3">
        <f>SUM(J26:L26)</f>
        <v>0.45624999999999999</v>
      </c>
      <c r="H26" s="3">
        <f>SUM(J26:L26)+0.0625</f>
        <v>0.51875000000000004</v>
      </c>
      <c r="I26" s="2">
        <f>SUM(J26:K26)+M26</f>
        <v>0.95250000000000001</v>
      </c>
      <c r="J26" s="6"/>
      <c r="K26" s="6">
        <v>0.1875</v>
      </c>
      <c r="L26" s="6">
        <v>0.26874999999999999</v>
      </c>
      <c r="M26" s="6">
        <v>0.76500000000000001</v>
      </c>
      <c r="N26" s="3"/>
      <c r="O26" s="3"/>
    </row>
    <row r="27" spans="1:15" x14ac:dyDescent="0.3">
      <c r="A27" s="3">
        <v>23</v>
      </c>
      <c r="C27" s="2" t="s">
        <v>15</v>
      </c>
      <c r="D27" s="2" t="s">
        <v>21</v>
      </c>
      <c r="E27" s="3">
        <f>SUM(J27:L27)+1.62</f>
        <v>2.5775000000000001</v>
      </c>
      <c r="F27" s="3">
        <f>SUM(J27:L27)+0.0625+1.62</f>
        <v>2.64</v>
      </c>
      <c r="G27" s="3">
        <f>SUM(J27:L27)</f>
        <v>0.95750000000000002</v>
      </c>
      <c r="H27" s="3">
        <f>SUM(J27:L27)+0.0625</f>
        <v>1.02</v>
      </c>
      <c r="I27" s="2">
        <f>SUM(J27:K27)+M27</f>
        <v>1.964</v>
      </c>
      <c r="J27" s="6"/>
      <c r="K27" s="6">
        <v>0.1875</v>
      </c>
      <c r="L27" s="6">
        <v>0.77</v>
      </c>
      <c r="M27" s="6">
        <v>1.7765</v>
      </c>
      <c r="N27" s="3"/>
      <c r="O27" s="3"/>
    </row>
    <row r="28" spans="1:15" x14ac:dyDescent="0.3">
      <c r="A28" s="3">
        <v>24</v>
      </c>
      <c r="C28" s="2" t="s">
        <v>15</v>
      </c>
      <c r="D28" s="2" t="s">
        <v>20</v>
      </c>
      <c r="E28" s="3">
        <f>SUM(J28:L28)+1.62</f>
        <v>2.9075000000000002</v>
      </c>
      <c r="F28" s="3">
        <f>SUM(J28:L28)+0.0625+1.62</f>
        <v>2.97</v>
      </c>
      <c r="G28" s="3">
        <f>SUM(J28:L28)</f>
        <v>1.2875000000000001</v>
      </c>
      <c r="H28" s="3">
        <f>SUM(J28:L28)+0.0625</f>
        <v>1.35</v>
      </c>
      <c r="I28" s="2">
        <f>SUM(J28:K28)+M28</f>
        <v>1.6325000000000001</v>
      </c>
      <c r="J28" s="6"/>
      <c r="K28" s="6">
        <v>0.1875</v>
      </c>
      <c r="L28" s="6">
        <v>1.1000000000000001</v>
      </c>
      <c r="M28" s="6">
        <v>1.4450000000000001</v>
      </c>
      <c r="N28" s="3"/>
      <c r="O28" s="3"/>
    </row>
    <row r="29" spans="1:15" x14ac:dyDescent="0.3">
      <c r="A29" s="3">
        <v>25</v>
      </c>
      <c r="C29" s="2" t="s">
        <v>1</v>
      </c>
      <c r="D29" s="2" t="s">
        <v>2</v>
      </c>
      <c r="E29" s="3">
        <f>SUM(J29:L29)+1.62</f>
        <v>2.3887499999999999</v>
      </c>
      <c r="F29" s="3">
        <f>SUM(J29:L29)+0.0625+1.62</f>
        <v>2.4512499999999999</v>
      </c>
      <c r="G29" s="3">
        <f>SUM(J29:L29)</f>
        <v>0.76875000000000004</v>
      </c>
      <c r="H29" s="3">
        <f>SUM(J29:L29)+0.0625</f>
        <v>0.83125000000000004</v>
      </c>
      <c r="I29" s="2">
        <f>SUM(J29:K29)+M29</f>
        <v>1.2650000000000001</v>
      </c>
      <c r="J29" s="6"/>
      <c r="K29" s="6">
        <v>0.5</v>
      </c>
      <c r="L29" s="6">
        <v>0.26874999999999999</v>
      </c>
      <c r="M29" s="6">
        <v>0.76500000000000001</v>
      </c>
      <c r="N29" s="3"/>
      <c r="O29" s="3"/>
    </row>
    <row r="30" spans="1:15" x14ac:dyDescent="0.3">
      <c r="A30" s="3">
        <v>26</v>
      </c>
      <c r="C30" s="2" t="s">
        <v>1</v>
      </c>
      <c r="D30" s="2" t="s">
        <v>6</v>
      </c>
      <c r="E30" s="3">
        <f>SUM(J30:L30)+1.62</f>
        <v>2.89</v>
      </c>
      <c r="F30" s="3">
        <f>SUM(J30:L30)+0.0625+1.62</f>
        <v>2.9525000000000001</v>
      </c>
      <c r="G30" s="3">
        <f>SUM(J30:L30)</f>
        <v>1.27</v>
      </c>
      <c r="H30" s="3">
        <f>SUM(J30:L30)+0.0625</f>
        <v>1.3325</v>
      </c>
      <c r="I30" s="2">
        <f>SUM(J30:K30)+M30</f>
        <v>2.2765</v>
      </c>
      <c r="J30" s="6"/>
      <c r="K30" s="6">
        <v>0.5</v>
      </c>
      <c r="L30" s="6">
        <v>0.77</v>
      </c>
      <c r="M30" s="6">
        <v>1.7765</v>
      </c>
      <c r="N30" s="3"/>
      <c r="O30" s="3"/>
    </row>
    <row r="31" spans="1:15" x14ac:dyDescent="0.3">
      <c r="A31" s="3">
        <v>27</v>
      </c>
      <c r="C31" s="2" t="s">
        <v>1</v>
      </c>
      <c r="D31" s="2" t="s">
        <v>20</v>
      </c>
      <c r="E31" s="3">
        <f>SUM(J31:L31)+1.62</f>
        <v>3.22</v>
      </c>
      <c r="F31" s="3">
        <f>SUM(J31:L31)+0.0625+1.62</f>
        <v>3.2825000000000002</v>
      </c>
      <c r="G31" s="3">
        <f>SUM(J31:L31)</f>
        <v>1.6</v>
      </c>
      <c r="H31" s="3">
        <f>SUM(J31:L31)+0.0625</f>
        <v>1.6625000000000001</v>
      </c>
      <c r="I31" s="2">
        <f>SUM(J31:K31)+M31</f>
        <v>1.9450000000000001</v>
      </c>
      <c r="J31" s="6"/>
      <c r="K31" s="6">
        <v>0.5</v>
      </c>
      <c r="L31" s="6">
        <v>1.1000000000000001</v>
      </c>
      <c r="M31" s="6">
        <v>1.4450000000000001</v>
      </c>
      <c r="N31" s="3"/>
      <c r="O31" s="3"/>
    </row>
    <row r="32" spans="1:15" x14ac:dyDescent="0.3">
      <c r="A32" s="3">
        <v>28</v>
      </c>
      <c r="B32" s="2" t="s">
        <v>19</v>
      </c>
      <c r="C32" s="2" t="s">
        <v>15</v>
      </c>
      <c r="D32" s="2" t="s">
        <v>2</v>
      </c>
      <c r="E32" s="3">
        <f>SUM(J32:L32)+1.62</f>
        <v>2.2637499999999999</v>
      </c>
      <c r="F32" s="3">
        <f>SUM(J32:L32)+0.0625+1.62</f>
        <v>2.3262499999999999</v>
      </c>
      <c r="G32" s="3">
        <f>SUM(J32:L32)</f>
        <v>0.64375000000000004</v>
      </c>
      <c r="H32" s="3">
        <f>SUM(J32:L32)+0.0625</f>
        <v>0.70625000000000004</v>
      </c>
      <c r="I32" s="2">
        <f>SUM(J32:K32)+M32</f>
        <v>1.1400000000000001</v>
      </c>
      <c r="J32" s="6">
        <v>0.1875</v>
      </c>
      <c r="K32" s="6">
        <v>0.1875</v>
      </c>
      <c r="L32" s="6">
        <v>0.26874999999999999</v>
      </c>
      <c r="M32" s="6">
        <v>0.76500000000000001</v>
      </c>
      <c r="N32" s="3"/>
      <c r="O32" s="3"/>
    </row>
    <row r="33" spans="1:15" x14ac:dyDescent="0.3">
      <c r="A33" s="3">
        <v>29</v>
      </c>
      <c r="B33" s="2" t="s">
        <v>19</v>
      </c>
      <c r="C33" s="2" t="s">
        <v>15</v>
      </c>
      <c r="D33" s="2" t="s">
        <v>21</v>
      </c>
      <c r="E33" s="3">
        <f>SUM(J33:L33)+1.62</f>
        <v>2.7650000000000001</v>
      </c>
      <c r="F33" s="3">
        <f>SUM(J33:L33)+0.0625+1.62</f>
        <v>2.8275000000000001</v>
      </c>
      <c r="G33" s="3">
        <f>SUM(J33:L33)</f>
        <v>1.145</v>
      </c>
      <c r="H33" s="3">
        <f>SUM(J33:L33)+0.0625</f>
        <v>1.2075</v>
      </c>
      <c r="I33" s="2">
        <f>SUM(J33:K33)+M33</f>
        <v>2.1515</v>
      </c>
      <c r="J33" s="6">
        <v>0.1875</v>
      </c>
      <c r="K33" s="6">
        <v>0.1875</v>
      </c>
      <c r="L33" s="6">
        <v>0.77</v>
      </c>
      <c r="M33" s="6">
        <v>1.7765</v>
      </c>
      <c r="N33" s="3"/>
      <c r="O33" s="3"/>
    </row>
    <row r="34" spans="1:15" x14ac:dyDescent="0.3">
      <c r="A34" s="3">
        <v>30</v>
      </c>
      <c r="B34" s="2" t="s">
        <v>19</v>
      </c>
      <c r="C34" s="2" t="s">
        <v>15</v>
      </c>
      <c r="D34" s="2" t="s">
        <v>20</v>
      </c>
      <c r="E34" s="3">
        <f>SUM(J34:L34)+1.62</f>
        <v>3.0950000000000002</v>
      </c>
      <c r="F34" s="3">
        <f>SUM(J34:L34)+0.0625+1.62</f>
        <v>3.1575000000000002</v>
      </c>
      <c r="G34" s="3">
        <f>SUM(J34:L34)</f>
        <v>1.4750000000000001</v>
      </c>
      <c r="H34" s="3">
        <f>SUM(J34:L34)+0.0625</f>
        <v>1.5375000000000001</v>
      </c>
      <c r="I34" s="2">
        <f>SUM(J34:K34)+M34</f>
        <v>1.82</v>
      </c>
      <c r="J34" s="6">
        <v>0.1875</v>
      </c>
      <c r="K34" s="6">
        <v>0.1875</v>
      </c>
      <c r="L34" s="6">
        <v>1.1000000000000001</v>
      </c>
      <c r="M34" s="6">
        <v>1.4450000000000001</v>
      </c>
      <c r="N34" s="3"/>
      <c r="O34" s="3"/>
    </row>
    <row r="35" spans="1:15" x14ac:dyDescent="0.3">
      <c r="A35" s="3">
        <v>31</v>
      </c>
      <c r="B35" s="2" t="s">
        <v>19</v>
      </c>
      <c r="C35" s="2" t="s">
        <v>1</v>
      </c>
      <c r="D35" s="2" t="s">
        <v>2</v>
      </c>
      <c r="E35" s="3">
        <f>SUM(J35:L35)+1.62</f>
        <v>2.5762499999999999</v>
      </c>
      <c r="F35" s="3">
        <f>SUM(J35:L35)+0.0625+1.62</f>
        <v>2.6387499999999999</v>
      </c>
      <c r="G35" s="3">
        <f>SUM(J35:L35)</f>
        <v>0.95625000000000004</v>
      </c>
      <c r="H35" s="3">
        <f>SUM(J35:L35)+0.0625</f>
        <v>1.01875</v>
      </c>
      <c r="I35" s="2">
        <f>SUM(J35:K35)+M35</f>
        <v>1.4525000000000001</v>
      </c>
      <c r="J35" s="6">
        <v>0.1875</v>
      </c>
      <c r="K35" s="6">
        <v>0.5</v>
      </c>
      <c r="L35" s="6">
        <v>0.26874999999999999</v>
      </c>
      <c r="M35" s="6">
        <v>0.76500000000000001</v>
      </c>
      <c r="N35" s="3"/>
      <c r="O35" s="3"/>
    </row>
    <row r="36" spans="1:15" x14ac:dyDescent="0.3">
      <c r="A36" s="3">
        <v>32</v>
      </c>
      <c r="B36" s="2" t="s">
        <v>19</v>
      </c>
      <c r="C36" s="2" t="s">
        <v>1</v>
      </c>
      <c r="D36" s="2" t="s">
        <v>6</v>
      </c>
      <c r="E36" s="3">
        <f>SUM(J36:L36)+1.62</f>
        <v>3.0775000000000001</v>
      </c>
      <c r="F36" s="3">
        <f>SUM(J36:L36)+0.0625+1.62</f>
        <v>3.14</v>
      </c>
      <c r="G36" s="3">
        <f>SUM(J36:L36)</f>
        <v>1.4575</v>
      </c>
      <c r="H36" s="3">
        <f>SUM(J36:L36)+0.0625</f>
        <v>1.52</v>
      </c>
      <c r="I36" s="2">
        <f>SUM(J36:K36)+M36</f>
        <v>2.464</v>
      </c>
      <c r="J36" s="6">
        <v>0.1875</v>
      </c>
      <c r="K36" s="6">
        <v>0.5</v>
      </c>
      <c r="L36" s="6">
        <v>0.77</v>
      </c>
      <c r="M36" s="6">
        <v>1.7765</v>
      </c>
      <c r="N36" s="3"/>
      <c r="O36" s="3"/>
    </row>
    <row r="37" spans="1:15" x14ac:dyDescent="0.3">
      <c r="A37" s="3">
        <v>33</v>
      </c>
      <c r="B37" s="2" t="s">
        <v>19</v>
      </c>
      <c r="C37" s="2" t="s">
        <v>1</v>
      </c>
      <c r="D37" s="2" t="s">
        <v>20</v>
      </c>
      <c r="E37" s="3">
        <f>SUM(J37:L37)+1.62</f>
        <v>3.4075000000000002</v>
      </c>
      <c r="F37" s="3">
        <f>SUM(J37:L37)+0.0625+1.62</f>
        <v>3.47</v>
      </c>
      <c r="G37" s="3">
        <f>SUM(J37:L37)</f>
        <v>1.7875000000000001</v>
      </c>
      <c r="H37" s="3">
        <f>SUM(J37:L37)+0.0625</f>
        <v>1.85</v>
      </c>
      <c r="I37" s="2">
        <f>SUM(J37:K37)+M37</f>
        <v>2.1325000000000003</v>
      </c>
      <c r="J37" s="6">
        <v>0.1875</v>
      </c>
      <c r="K37" s="6">
        <v>0.5</v>
      </c>
      <c r="L37" s="6">
        <v>1.1000000000000001</v>
      </c>
      <c r="M37" s="6">
        <v>1.4450000000000001</v>
      </c>
      <c r="N37" s="3"/>
      <c r="O37" s="3"/>
    </row>
  </sheetData>
  <mergeCells count="3">
    <mergeCell ref="A1:D1"/>
    <mergeCell ref="J1:M1"/>
    <mergeCell ref="E1:H1"/>
  </mergeCells>
  <phoneticPr fontId="1" type="noConversion"/>
  <conditionalFormatting sqref="E3:I37">
    <cfRule type="cellIs" dxfId="5" priority="1" operator="lessThan">
      <formula>1</formula>
    </cfRule>
    <cfRule type="cellIs" dxfId="4" priority="2" operator="between">
      <formula>1</formula>
      <formula>2</formula>
    </cfRule>
    <cfRule type="cellIs" dxfId="3" priority="3" operator="greaterThanOrEqual">
      <formula>2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7DD25-8EFF-4D65-BFF6-A690D0D26684}">
  <dimension ref="A1:O36"/>
  <sheetViews>
    <sheetView workbookViewId="0">
      <selection sqref="A1:D1"/>
    </sheetView>
  </sheetViews>
  <sheetFormatPr defaultColWidth="8.9140625" defaultRowHeight="14" x14ac:dyDescent="0.3"/>
  <cols>
    <col min="1" max="1" width="11.75" style="3" bestFit="1" customWidth="1"/>
    <col min="2" max="2" width="10.4140625" style="3" bestFit="1" customWidth="1"/>
    <col min="3" max="3" width="13.25" style="3" bestFit="1" customWidth="1"/>
    <col min="4" max="4" width="10.33203125" style="3" bestFit="1" customWidth="1"/>
    <col min="5" max="6" width="11.75" bestFit="1" customWidth="1"/>
    <col min="7" max="8" width="11.75" style="3" bestFit="1" customWidth="1"/>
    <col min="9" max="9" width="16.75" style="3" bestFit="1" customWidth="1"/>
    <col min="10" max="10" width="11.58203125" style="3" bestFit="1" customWidth="1"/>
    <col min="11" max="11" width="14.4140625" style="3" bestFit="1" customWidth="1"/>
    <col min="12" max="12" width="11.4140625" style="3" bestFit="1" customWidth="1"/>
    <col min="13" max="13" width="11.75" style="6" bestFit="1" customWidth="1"/>
    <col min="14" max="14" width="11.4140625" style="6" bestFit="1" customWidth="1"/>
    <col min="15" max="15" width="11.75" style="6" bestFit="1" customWidth="1"/>
    <col min="16" max="16384" width="8.9140625" style="3"/>
  </cols>
  <sheetData>
    <row r="1" spans="1:15" x14ac:dyDescent="0.3">
      <c r="A1" s="11" t="s">
        <v>25</v>
      </c>
      <c r="B1" s="11"/>
      <c r="C1" s="11"/>
      <c r="D1" s="11"/>
      <c r="E1" s="13" t="s">
        <v>36</v>
      </c>
      <c r="F1" s="13"/>
      <c r="G1" s="13"/>
      <c r="H1" s="13"/>
      <c r="I1" s="8"/>
      <c r="J1" s="12" t="s">
        <v>26</v>
      </c>
      <c r="K1" s="12"/>
      <c r="L1" s="12"/>
      <c r="M1" s="12"/>
      <c r="N1" s="3"/>
      <c r="O1" s="3"/>
    </row>
    <row r="2" spans="1:15" s="9" customFormat="1" x14ac:dyDescent="0.3">
      <c r="A2" s="9" t="s">
        <v>33</v>
      </c>
      <c r="B2" s="9" t="s">
        <v>27</v>
      </c>
      <c r="C2" s="9" t="s">
        <v>28</v>
      </c>
      <c r="D2" s="9" t="s">
        <v>29</v>
      </c>
      <c r="E2" s="4" t="s">
        <v>37</v>
      </c>
      <c r="F2" s="4" t="s">
        <v>38</v>
      </c>
      <c r="G2" s="4" t="s">
        <v>39</v>
      </c>
      <c r="H2" s="4" t="s">
        <v>40</v>
      </c>
      <c r="I2" s="7" t="s">
        <v>30</v>
      </c>
      <c r="J2" s="10" t="s">
        <v>32</v>
      </c>
      <c r="K2" s="10" t="s">
        <v>34</v>
      </c>
      <c r="L2" s="10" t="s">
        <v>35</v>
      </c>
      <c r="M2" s="10" t="s">
        <v>31</v>
      </c>
    </row>
    <row r="3" spans="1:15" x14ac:dyDescent="0.3">
      <c r="A3" s="3">
        <v>0</v>
      </c>
      <c r="B3" s="2"/>
      <c r="E3" s="3">
        <f t="shared" ref="E3" si="0">SUM(J3:L3)+1.62</f>
        <v>1.62</v>
      </c>
      <c r="F3" s="3">
        <f t="shared" ref="F3" si="1">SUM(J3:L3)+0.0625+1.62</f>
        <v>1.6825000000000001</v>
      </c>
      <c r="G3" s="3">
        <f t="shared" ref="G3" si="2">SUM(J3:L3)</f>
        <v>0</v>
      </c>
      <c r="H3" s="3">
        <f t="shared" ref="H3" si="3">SUM(J3:L3)+0.0625</f>
        <v>6.25E-2</v>
      </c>
      <c r="J3" s="6"/>
      <c r="K3" s="6"/>
      <c r="L3" s="6"/>
      <c r="N3" s="3"/>
      <c r="O3" s="3"/>
    </row>
    <row r="4" spans="1:15" x14ac:dyDescent="0.3">
      <c r="A4" s="3">
        <v>1</v>
      </c>
      <c r="B4" s="2" t="s">
        <v>12</v>
      </c>
      <c r="E4" s="3">
        <f t="shared" ref="E4:E36" si="4">SUM(J4:L4)+1.62</f>
        <v>1.27</v>
      </c>
      <c r="F4" s="3">
        <f t="shared" ref="F4:F36" si="5">SUM(J4:L4)+0.0625+1.62</f>
        <v>1.3325</v>
      </c>
      <c r="G4" s="3">
        <f t="shared" ref="G4:G36" si="6">SUM(J4:L4)</f>
        <v>-0.35</v>
      </c>
      <c r="H4" s="3">
        <f t="shared" ref="H4:H36" si="7">SUM(J4:L4)+0.0625</f>
        <v>-0.28749999999999998</v>
      </c>
      <c r="J4" s="6">
        <v>-0.35</v>
      </c>
      <c r="K4" s="6"/>
      <c r="L4" s="6"/>
      <c r="N4" s="3"/>
      <c r="O4" s="3"/>
    </row>
    <row r="5" spans="1:15" x14ac:dyDescent="0.3">
      <c r="A5" s="3">
        <v>2</v>
      </c>
      <c r="B5" s="2"/>
      <c r="C5" s="3" t="s">
        <v>15</v>
      </c>
      <c r="E5" s="3">
        <f t="shared" si="4"/>
        <v>1.27</v>
      </c>
      <c r="F5" s="3">
        <f t="shared" si="5"/>
        <v>1.3325</v>
      </c>
      <c r="G5" s="3">
        <f t="shared" si="6"/>
        <v>-0.35</v>
      </c>
      <c r="H5" s="3">
        <f t="shared" si="7"/>
        <v>-0.28749999999999998</v>
      </c>
      <c r="J5" s="6"/>
      <c r="K5" s="6">
        <v>-0.35</v>
      </c>
      <c r="L5" s="6"/>
      <c r="N5" s="3"/>
      <c r="O5" s="3"/>
    </row>
    <row r="6" spans="1:15" x14ac:dyDescent="0.3">
      <c r="A6" s="3">
        <v>3</v>
      </c>
      <c r="C6" s="2" t="s">
        <v>1</v>
      </c>
      <c r="E6" s="3">
        <f t="shared" si="4"/>
        <v>1.52</v>
      </c>
      <c r="F6" s="3">
        <f t="shared" si="5"/>
        <v>1.5825</v>
      </c>
      <c r="G6" s="3">
        <f t="shared" si="6"/>
        <v>-0.1</v>
      </c>
      <c r="H6" s="3">
        <f t="shared" si="7"/>
        <v>-3.7500000000000006E-2</v>
      </c>
      <c r="J6" s="6"/>
      <c r="K6" s="6">
        <v>-0.1</v>
      </c>
      <c r="L6" s="6"/>
      <c r="N6" s="3"/>
      <c r="O6" s="3"/>
    </row>
    <row r="7" spans="1:15" x14ac:dyDescent="0.3">
      <c r="A7" s="3">
        <v>12</v>
      </c>
      <c r="B7" s="2" t="s">
        <v>12</v>
      </c>
      <c r="C7" s="3" t="s">
        <v>15</v>
      </c>
      <c r="E7" s="3">
        <f t="shared" si="4"/>
        <v>1.27</v>
      </c>
      <c r="F7" s="3">
        <f t="shared" si="5"/>
        <v>1.3325</v>
      </c>
      <c r="G7" s="3">
        <f t="shared" si="6"/>
        <v>-0.35</v>
      </c>
      <c r="H7" s="3">
        <f t="shared" si="7"/>
        <v>-0.28749999999999998</v>
      </c>
      <c r="I7" s="2"/>
      <c r="J7" s="6">
        <v>0</v>
      </c>
      <c r="K7" s="6">
        <v>-0.35</v>
      </c>
      <c r="L7" s="6"/>
      <c r="N7" s="3"/>
      <c r="O7" s="3"/>
    </row>
    <row r="8" spans="1:15" x14ac:dyDescent="0.3">
      <c r="A8" s="3">
        <v>13</v>
      </c>
      <c r="B8" s="3" t="s">
        <v>12</v>
      </c>
      <c r="C8" s="2" t="s">
        <v>1</v>
      </c>
      <c r="E8" s="3">
        <f t="shared" si="4"/>
        <v>1.52</v>
      </c>
      <c r="F8" s="3">
        <f t="shared" si="5"/>
        <v>1.5825</v>
      </c>
      <c r="G8" s="3">
        <f t="shared" si="6"/>
        <v>-0.1</v>
      </c>
      <c r="H8" s="3">
        <f t="shared" si="7"/>
        <v>-3.7500000000000006E-2</v>
      </c>
      <c r="I8" s="2"/>
      <c r="J8" s="6">
        <v>0</v>
      </c>
      <c r="K8" s="6">
        <v>-0.1</v>
      </c>
      <c r="L8" s="6"/>
      <c r="N8" s="3"/>
      <c r="O8" s="3"/>
    </row>
    <row r="9" spans="1:15" x14ac:dyDescent="0.3">
      <c r="A9" s="3">
        <v>4</v>
      </c>
      <c r="D9" s="2" t="s">
        <v>2</v>
      </c>
      <c r="E9" s="3">
        <f t="shared" si="4"/>
        <v>1.9450000000000001</v>
      </c>
      <c r="F9" s="3">
        <f t="shared" si="5"/>
        <v>2.0075000000000003</v>
      </c>
      <c r="G9" s="3">
        <f t="shared" si="6"/>
        <v>0.32500000000000001</v>
      </c>
      <c r="H9" s="3">
        <f t="shared" si="7"/>
        <v>0.38750000000000001</v>
      </c>
      <c r="I9" s="2">
        <f t="shared" ref="I9:I16" si="8">SUM(J9:K9)+M9</f>
        <v>0.76500000000000001</v>
      </c>
      <c r="J9" s="6"/>
      <c r="K9" s="6"/>
      <c r="L9" s="6">
        <v>0.32500000000000001</v>
      </c>
      <c r="M9" s="6">
        <v>0.76500000000000001</v>
      </c>
      <c r="N9" s="3"/>
      <c r="O9" s="3"/>
    </row>
    <row r="10" spans="1:15" x14ac:dyDescent="0.3">
      <c r="A10" s="3">
        <v>5</v>
      </c>
      <c r="D10" s="2" t="s">
        <v>3</v>
      </c>
      <c r="E10" s="3">
        <f t="shared" si="4"/>
        <v>2.145</v>
      </c>
      <c r="F10" s="3">
        <f t="shared" si="5"/>
        <v>2.2075</v>
      </c>
      <c r="G10" s="3">
        <f t="shared" si="6"/>
        <v>0.52500000000000002</v>
      </c>
      <c r="H10" s="3">
        <f t="shared" si="7"/>
        <v>0.58750000000000002</v>
      </c>
      <c r="I10" s="2">
        <f t="shared" si="8"/>
        <v>1.425</v>
      </c>
      <c r="J10" s="6"/>
      <c r="K10" s="6"/>
      <c r="L10" s="6">
        <v>0.52500000000000002</v>
      </c>
      <c r="M10" s="6">
        <v>1.425</v>
      </c>
      <c r="N10" s="3"/>
      <c r="O10" s="3"/>
    </row>
    <row r="11" spans="1:15" x14ac:dyDescent="0.3">
      <c r="A11" s="3">
        <v>6</v>
      </c>
      <c r="D11" s="2" t="s">
        <v>4</v>
      </c>
      <c r="E11" s="3">
        <f t="shared" si="4"/>
        <v>2.2200000000000002</v>
      </c>
      <c r="F11" s="3">
        <f t="shared" si="5"/>
        <v>2.2825000000000002</v>
      </c>
      <c r="G11" s="3">
        <f t="shared" si="6"/>
        <v>0.6</v>
      </c>
      <c r="H11" s="3">
        <f t="shared" si="7"/>
        <v>0.66249999999999998</v>
      </c>
      <c r="I11" s="2">
        <f t="shared" si="8"/>
        <v>1.52</v>
      </c>
      <c r="J11" s="6"/>
      <c r="K11" s="6"/>
      <c r="L11" s="6">
        <v>0.6</v>
      </c>
      <c r="M11" s="6">
        <v>1.52</v>
      </c>
      <c r="N11" s="3"/>
      <c r="O11" s="3"/>
    </row>
    <row r="12" spans="1:15" x14ac:dyDescent="0.3">
      <c r="A12" s="3">
        <v>7</v>
      </c>
      <c r="D12" s="2" t="s">
        <v>5</v>
      </c>
      <c r="E12" s="3">
        <f t="shared" si="4"/>
        <v>2.2825000000000002</v>
      </c>
      <c r="F12" s="3">
        <f t="shared" si="5"/>
        <v>2.3450000000000002</v>
      </c>
      <c r="G12" s="3">
        <f t="shared" si="6"/>
        <v>0.66249999999999998</v>
      </c>
      <c r="H12" s="3">
        <f t="shared" si="7"/>
        <v>0.72499999999999998</v>
      </c>
      <c r="I12" s="2">
        <f t="shared" si="8"/>
        <v>1.52</v>
      </c>
      <c r="J12" s="6"/>
      <c r="K12" s="6"/>
      <c r="L12" s="6">
        <v>0.66249999999999998</v>
      </c>
      <c r="M12" s="6">
        <v>1.52</v>
      </c>
      <c r="N12" s="3"/>
      <c r="O12" s="3"/>
    </row>
    <row r="13" spans="1:15" x14ac:dyDescent="0.3">
      <c r="A13" s="3">
        <v>8</v>
      </c>
      <c r="D13" s="2" t="s">
        <v>6</v>
      </c>
      <c r="E13" s="3">
        <f t="shared" si="4"/>
        <v>2.3920000000000003</v>
      </c>
      <c r="F13" s="3">
        <f t="shared" si="5"/>
        <v>2.4545000000000003</v>
      </c>
      <c r="G13" s="3">
        <f t="shared" si="6"/>
        <v>0.77200000000000002</v>
      </c>
      <c r="H13" s="3">
        <f t="shared" si="7"/>
        <v>0.83450000000000002</v>
      </c>
      <c r="I13" s="2">
        <f t="shared" si="8"/>
        <v>1.7765</v>
      </c>
      <c r="J13" s="6"/>
      <c r="K13" s="6"/>
      <c r="L13" s="6">
        <v>0.77200000000000002</v>
      </c>
      <c r="M13" s="6">
        <v>1.7765</v>
      </c>
      <c r="N13" s="3"/>
      <c r="O13" s="3"/>
    </row>
    <row r="14" spans="1:15" x14ac:dyDescent="0.3">
      <c r="A14" s="3">
        <v>9</v>
      </c>
      <c r="D14" s="2" t="s">
        <v>7</v>
      </c>
      <c r="E14" s="3">
        <f t="shared" si="4"/>
        <v>2.4700000000000002</v>
      </c>
      <c r="F14" s="3">
        <f t="shared" si="5"/>
        <v>2.5325000000000002</v>
      </c>
      <c r="G14" s="3">
        <f t="shared" si="6"/>
        <v>0.85</v>
      </c>
      <c r="H14" s="3">
        <f t="shared" si="7"/>
        <v>0.91249999999999998</v>
      </c>
      <c r="I14" s="2">
        <f t="shared" si="8"/>
        <v>1.52</v>
      </c>
      <c r="J14" s="6"/>
      <c r="K14" s="6"/>
      <c r="L14" s="6">
        <v>0.85</v>
      </c>
      <c r="M14" s="6">
        <v>1.52</v>
      </c>
      <c r="N14" s="3"/>
      <c r="O14" s="3"/>
    </row>
    <row r="15" spans="1:15" x14ac:dyDescent="0.3">
      <c r="A15" s="3">
        <v>10</v>
      </c>
      <c r="D15" s="2" t="s">
        <v>16</v>
      </c>
      <c r="E15" s="3">
        <f t="shared" si="4"/>
        <v>2.7800000000000002</v>
      </c>
      <c r="F15" s="3">
        <f t="shared" si="5"/>
        <v>2.8425000000000002</v>
      </c>
      <c r="G15" s="3">
        <f t="shared" si="6"/>
        <v>1.1599999999999999</v>
      </c>
      <c r="H15" s="3">
        <f t="shared" si="7"/>
        <v>1.2224999999999999</v>
      </c>
      <c r="I15" s="2">
        <f t="shared" si="8"/>
        <v>1.4450000000000001</v>
      </c>
      <c r="J15" s="6"/>
      <c r="K15" s="6"/>
      <c r="L15" s="6">
        <v>1.1599999999999999</v>
      </c>
      <c r="M15" s="6">
        <v>1.4450000000000001</v>
      </c>
      <c r="N15" s="3"/>
      <c r="O15" s="3"/>
    </row>
    <row r="16" spans="1:15" x14ac:dyDescent="0.3">
      <c r="A16" s="3">
        <v>11</v>
      </c>
      <c r="D16" s="2" t="s">
        <v>8</v>
      </c>
      <c r="E16" s="3">
        <f t="shared" si="4"/>
        <v>3.0449999999999999</v>
      </c>
      <c r="F16" s="3">
        <f t="shared" si="5"/>
        <v>3.1074999999999999</v>
      </c>
      <c r="G16" s="3">
        <f t="shared" si="6"/>
        <v>1.425</v>
      </c>
      <c r="H16" s="3">
        <f t="shared" si="7"/>
        <v>1.4875</v>
      </c>
      <c r="I16" s="2">
        <f t="shared" si="8"/>
        <v>2.2749999999999999</v>
      </c>
      <c r="J16" s="6"/>
      <c r="K16" s="6"/>
      <c r="L16" s="6">
        <v>1.425</v>
      </c>
      <c r="M16" s="6">
        <v>2.2749999999999999</v>
      </c>
      <c r="N16" s="3"/>
      <c r="O16" s="3"/>
    </row>
    <row r="17" spans="1:15" x14ac:dyDescent="0.3">
      <c r="A17" s="3">
        <v>14</v>
      </c>
      <c r="B17" s="2" t="s">
        <v>12</v>
      </c>
      <c r="D17" s="2" t="s">
        <v>2</v>
      </c>
      <c r="E17" s="3">
        <f t="shared" si="4"/>
        <v>2.085</v>
      </c>
      <c r="F17" s="3">
        <f t="shared" si="5"/>
        <v>2.1475</v>
      </c>
      <c r="G17" s="3">
        <f t="shared" si="6"/>
        <v>0.46500000000000002</v>
      </c>
      <c r="H17" s="3">
        <f t="shared" si="7"/>
        <v>0.52750000000000008</v>
      </c>
      <c r="I17" s="2">
        <f t="shared" ref="I17:I36" si="9">SUM(J17:K17)+M17</f>
        <v>0.90500000000000003</v>
      </c>
      <c r="J17" s="6">
        <v>0.14000000000000001</v>
      </c>
      <c r="K17" s="6"/>
      <c r="L17" s="6">
        <v>0.32500000000000001</v>
      </c>
      <c r="M17" s="6">
        <v>0.76500000000000001</v>
      </c>
      <c r="N17" s="3"/>
      <c r="O17" s="3"/>
    </row>
    <row r="18" spans="1:15" x14ac:dyDescent="0.3">
      <c r="A18" s="3">
        <v>15</v>
      </c>
      <c r="B18" s="2" t="s">
        <v>12</v>
      </c>
      <c r="D18" s="2" t="s">
        <v>3</v>
      </c>
      <c r="E18" s="3">
        <f t="shared" si="4"/>
        <v>2.2850000000000001</v>
      </c>
      <c r="F18" s="3">
        <f t="shared" si="5"/>
        <v>2.3475000000000001</v>
      </c>
      <c r="G18" s="3">
        <f t="shared" si="6"/>
        <v>0.66500000000000004</v>
      </c>
      <c r="H18" s="3">
        <f t="shared" si="7"/>
        <v>0.72750000000000004</v>
      </c>
      <c r="I18" s="2">
        <f t="shared" si="9"/>
        <v>1.5649999999999999</v>
      </c>
      <c r="J18" s="6">
        <v>0.14000000000000001</v>
      </c>
      <c r="K18" s="6"/>
      <c r="L18" s="6">
        <v>0.52500000000000002</v>
      </c>
      <c r="M18" s="6">
        <v>1.425</v>
      </c>
      <c r="N18" s="3"/>
      <c r="O18" s="3"/>
    </row>
    <row r="19" spans="1:15" x14ac:dyDescent="0.3">
      <c r="A19" s="3">
        <v>16</v>
      </c>
      <c r="B19" s="2" t="s">
        <v>12</v>
      </c>
      <c r="D19" s="2" t="s">
        <v>4</v>
      </c>
      <c r="E19" s="3">
        <f t="shared" si="4"/>
        <v>2.3600000000000003</v>
      </c>
      <c r="F19" s="3">
        <f t="shared" si="5"/>
        <v>2.4225000000000003</v>
      </c>
      <c r="G19" s="3">
        <f t="shared" si="6"/>
        <v>0.74</v>
      </c>
      <c r="H19" s="3">
        <f t="shared" si="7"/>
        <v>0.80249999999999999</v>
      </c>
      <c r="I19" s="2">
        <f t="shared" si="9"/>
        <v>1.6600000000000001</v>
      </c>
      <c r="J19" s="6">
        <v>0.14000000000000001</v>
      </c>
      <c r="K19" s="6"/>
      <c r="L19" s="6">
        <v>0.6</v>
      </c>
      <c r="M19" s="6">
        <v>1.52</v>
      </c>
      <c r="N19" s="3"/>
      <c r="O19" s="3"/>
    </row>
    <row r="20" spans="1:15" x14ac:dyDescent="0.3">
      <c r="A20" s="3">
        <v>17</v>
      </c>
      <c r="B20" s="2" t="s">
        <v>12</v>
      </c>
      <c r="D20" s="2" t="s">
        <v>5</v>
      </c>
      <c r="E20" s="3">
        <f t="shared" si="4"/>
        <v>2.4225000000000003</v>
      </c>
      <c r="F20" s="3">
        <f t="shared" si="5"/>
        <v>2.4850000000000003</v>
      </c>
      <c r="G20" s="3">
        <f t="shared" si="6"/>
        <v>0.80249999999999999</v>
      </c>
      <c r="H20" s="3">
        <f t="shared" si="7"/>
        <v>0.86499999999999999</v>
      </c>
      <c r="I20" s="2">
        <f t="shared" si="9"/>
        <v>1.6600000000000001</v>
      </c>
      <c r="J20" s="6">
        <v>0.14000000000000001</v>
      </c>
      <c r="K20" s="6"/>
      <c r="L20" s="6">
        <v>0.66249999999999998</v>
      </c>
      <c r="M20" s="6">
        <v>1.52</v>
      </c>
      <c r="N20" s="3"/>
      <c r="O20" s="3"/>
    </row>
    <row r="21" spans="1:15" x14ac:dyDescent="0.3">
      <c r="A21" s="3">
        <v>18</v>
      </c>
      <c r="B21" s="2" t="s">
        <v>12</v>
      </c>
      <c r="D21" s="2" t="s">
        <v>6</v>
      </c>
      <c r="E21" s="3">
        <f t="shared" si="4"/>
        <v>2.532</v>
      </c>
      <c r="F21" s="3">
        <f t="shared" si="5"/>
        <v>2.5945</v>
      </c>
      <c r="G21" s="3">
        <f t="shared" si="6"/>
        <v>0.91200000000000003</v>
      </c>
      <c r="H21" s="3">
        <f t="shared" si="7"/>
        <v>0.97450000000000003</v>
      </c>
      <c r="I21" s="2">
        <f t="shared" si="9"/>
        <v>1.9165000000000001</v>
      </c>
      <c r="J21" s="6">
        <v>0.14000000000000001</v>
      </c>
      <c r="K21" s="6"/>
      <c r="L21" s="6">
        <v>0.77200000000000002</v>
      </c>
      <c r="M21" s="6">
        <v>1.7765</v>
      </c>
      <c r="N21" s="3"/>
      <c r="O21" s="3"/>
    </row>
    <row r="22" spans="1:15" x14ac:dyDescent="0.3">
      <c r="A22" s="3">
        <v>19</v>
      </c>
      <c r="B22" s="2" t="s">
        <v>12</v>
      </c>
      <c r="D22" s="2" t="s">
        <v>7</v>
      </c>
      <c r="E22" s="3">
        <f t="shared" si="4"/>
        <v>2.6100000000000003</v>
      </c>
      <c r="F22" s="3">
        <f t="shared" si="5"/>
        <v>2.6725000000000003</v>
      </c>
      <c r="G22" s="3">
        <f t="shared" si="6"/>
        <v>0.99</v>
      </c>
      <c r="H22" s="3">
        <f t="shared" si="7"/>
        <v>1.0525</v>
      </c>
      <c r="I22" s="2">
        <f t="shared" si="9"/>
        <v>1.6600000000000001</v>
      </c>
      <c r="J22" s="6">
        <v>0.14000000000000001</v>
      </c>
      <c r="K22" s="6"/>
      <c r="L22" s="6">
        <v>0.85</v>
      </c>
      <c r="M22" s="6">
        <v>1.52</v>
      </c>
      <c r="N22" s="3"/>
      <c r="O22" s="3"/>
    </row>
    <row r="23" spans="1:15" x14ac:dyDescent="0.3">
      <c r="A23" s="3">
        <v>20</v>
      </c>
      <c r="B23" s="2" t="s">
        <v>12</v>
      </c>
      <c r="D23" s="2" t="s">
        <v>16</v>
      </c>
      <c r="E23" s="3">
        <f t="shared" si="4"/>
        <v>2.92</v>
      </c>
      <c r="F23" s="3">
        <f t="shared" si="5"/>
        <v>2.9824999999999999</v>
      </c>
      <c r="G23" s="3">
        <f t="shared" si="6"/>
        <v>1.2999999999999998</v>
      </c>
      <c r="H23" s="3">
        <f t="shared" si="7"/>
        <v>1.3624999999999998</v>
      </c>
      <c r="I23" s="2">
        <f t="shared" si="9"/>
        <v>1.585</v>
      </c>
      <c r="J23" s="6">
        <v>0.14000000000000001</v>
      </c>
      <c r="K23" s="6"/>
      <c r="L23" s="6">
        <v>1.1599999999999999</v>
      </c>
      <c r="M23" s="6">
        <v>1.4450000000000001</v>
      </c>
      <c r="N23" s="3"/>
      <c r="O23" s="3"/>
    </row>
    <row r="24" spans="1:15" x14ac:dyDescent="0.3">
      <c r="A24" s="3">
        <v>21</v>
      </c>
      <c r="B24" s="2" t="s">
        <v>12</v>
      </c>
      <c r="D24" s="2" t="s">
        <v>8</v>
      </c>
      <c r="E24" s="3">
        <f t="shared" si="4"/>
        <v>3.1850000000000001</v>
      </c>
      <c r="F24" s="3">
        <f t="shared" si="5"/>
        <v>3.2475000000000001</v>
      </c>
      <c r="G24" s="3">
        <f t="shared" si="6"/>
        <v>1.5649999999999999</v>
      </c>
      <c r="H24" s="3">
        <f t="shared" si="7"/>
        <v>1.6274999999999999</v>
      </c>
      <c r="I24" s="2">
        <f t="shared" si="9"/>
        <v>2.415</v>
      </c>
      <c r="J24" s="6">
        <v>0.14000000000000001</v>
      </c>
      <c r="K24" s="6"/>
      <c r="L24" s="6">
        <v>1.425</v>
      </c>
      <c r="M24" s="6">
        <v>2.2749999999999999</v>
      </c>
      <c r="N24" s="3"/>
      <c r="O24" s="3"/>
    </row>
    <row r="25" spans="1:15" x14ac:dyDescent="0.3">
      <c r="A25" s="3">
        <v>22</v>
      </c>
      <c r="C25" s="2" t="s">
        <v>15</v>
      </c>
      <c r="D25" s="2" t="s">
        <v>2</v>
      </c>
      <c r="E25" s="3">
        <f t="shared" si="4"/>
        <v>2.085</v>
      </c>
      <c r="F25" s="3">
        <f t="shared" si="5"/>
        <v>2.1475</v>
      </c>
      <c r="G25" s="3">
        <f t="shared" si="6"/>
        <v>0.46500000000000002</v>
      </c>
      <c r="H25" s="3">
        <f t="shared" si="7"/>
        <v>0.52750000000000008</v>
      </c>
      <c r="I25" s="2">
        <f t="shared" si="9"/>
        <v>0.90500000000000003</v>
      </c>
      <c r="J25" s="6"/>
      <c r="K25" s="6">
        <v>0.14000000000000001</v>
      </c>
      <c r="L25" s="6">
        <v>0.32500000000000001</v>
      </c>
      <c r="M25" s="6">
        <v>0.76500000000000001</v>
      </c>
      <c r="N25" s="3"/>
      <c r="O25" s="3"/>
    </row>
    <row r="26" spans="1:15" x14ac:dyDescent="0.3">
      <c r="A26" s="3">
        <v>23</v>
      </c>
      <c r="C26" s="2" t="s">
        <v>15</v>
      </c>
      <c r="D26" s="2" t="s">
        <v>6</v>
      </c>
      <c r="E26" s="3">
        <f t="shared" si="4"/>
        <v>2.532</v>
      </c>
      <c r="F26" s="3">
        <f t="shared" si="5"/>
        <v>2.5945</v>
      </c>
      <c r="G26" s="3">
        <f t="shared" si="6"/>
        <v>0.91200000000000003</v>
      </c>
      <c r="H26" s="3">
        <f t="shared" si="7"/>
        <v>0.97450000000000003</v>
      </c>
      <c r="I26" s="2">
        <f t="shared" si="9"/>
        <v>1.9165000000000001</v>
      </c>
      <c r="J26" s="6"/>
      <c r="K26" s="6">
        <v>0.14000000000000001</v>
      </c>
      <c r="L26" s="6">
        <v>0.77200000000000002</v>
      </c>
      <c r="M26" s="6">
        <v>1.7765</v>
      </c>
      <c r="N26" s="3"/>
      <c r="O26" s="3"/>
    </row>
    <row r="27" spans="1:15" x14ac:dyDescent="0.3">
      <c r="A27" s="3">
        <v>24</v>
      </c>
      <c r="C27" s="2" t="s">
        <v>15</v>
      </c>
      <c r="D27" s="2" t="s">
        <v>16</v>
      </c>
      <c r="E27" s="3">
        <f t="shared" si="4"/>
        <v>2.92</v>
      </c>
      <c r="F27" s="3">
        <f t="shared" si="5"/>
        <v>2.9824999999999999</v>
      </c>
      <c r="G27" s="3">
        <f t="shared" si="6"/>
        <v>1.2999999999999998</v>
      </c>
      <c r="H27" s="3">
        <f t="shared" si="7"/>
        <v>1.3624999999999998</v>
      </c>
      <c r="I27" s="2">
        <f t="shared" si="9"/>
        <v>1.585</v>
      </c>
      <c r="J27" s="6"/>
      <c r="K27" s="6">
        <v>0.14000000000000001</v>
      </c>
      <c r="L27" s="6">
        <v>1.1599999999999999</v>
      </c>
      <c r="M27" s="6">
        <v>1.4450000000000001</v>
      </c>
      <c r="N27" s="3"/>
      <c r="O27" s="3"/>
    </row>
    <row r="28" spans="1:15" x14ac:dyDescent="0.3">
      <c r="A28" s="3">
        <v>25</v>
      </c>
      <c r="C28" s="2" t="s">
        <v>1</v>
      </c>
      <c r="D28" s="2" t="s">
        <v>2</v>
      </c>
      <c r="E28" s="3">
        <f t="shared" si="4"/>
        <v>2.335</v>
      </c>
      <c r="F28" s="3">
        <f t="shared" si="5"/>
        <v>2.3975</v>
      </c>
      <c r="G28" s="3">
        <f t="shared" si="6"/>
        <v>0.71500000000000008</v>
      </c>
      <c r="H28" s="3">
        <f t="shared" si="7"/>
        <v>0.77750000000000008</v>
      </c>
      <c r="I28" s="2">
        <f t="shared" si="9"/>
        <v>1.155</v>
      </c>
      <c r="J28" s="6"/>
      <c r="K28" s="6">
        <v>0.39</v>
      </c>
      <c r="L28" s="6">
        <v>0.32500000000000001</v>
      </c>
      <c r="M28" s="6">
        <v>0.76500000000000001</v>
      </c>
      <c r="N28" s="3"/>
      <c r="O28" s="3"/>
    </row>
    <row r="29" spans="1:15" x14ac:dyDescent="0.3">
      <c r="A29" s="3">
        <v>26</v>
      </c>
      <c r="C29" s="2" t="s">
        <v>1</v>
      </c>
      <c r="D29" s="2" t="s">
        <v>6</v>
      </c>
      <c r="E29" s="3">
        <f t="shared" si="4"/>
        <v>2.782</v>
      </c>
      <c r="F29" s="3">
        <f t="shared" si="5"/>
        <v>2.8445</v>
      </c>
      <c r="G29" s="3">
        <f t="shared" si="6"/>
        <v>1.1619999999999999</v>
      </c>
      <c r="H29" s="3">
        <f t="shared" si="7"/>
        <v>1.2244999999999999</v>
      </c>
      <c r="I29" s="2">
        <f t="shared" si="9"/>
        <v>2.1665000000000001</v>
      </c>
      <c r="J29" s="6"/>
      <c r="K29" s="6">
        <v>0.39</v>
      </c>
      <c r="L29" s="6">
        <v>0.77200000000000002</v>
      </c>
      <c r="M29" s="6">
        <v>1.7765</v>
      </c>
      <c r="N29" s="3"/>
      <c r="O29" s="3"/>
    </row>
    <row r="30" spans="1:15" x14ac:dyDescent="0.3">
      <c r="A30" s="3">
        <v>27</v>
      </c>
      <c r="C30" s="2" t="s">
        <v>1</v>
      </c>
      <c r="D30" s="2" t="s">
        <v>16</v>
      </c>
      <c r="E30" s="3">
        <f t="shared" si="4"/>
        <v>3.17</v>
      </c>
      <c r="F30" s="3">
        <f t="shared" si="5"/>
        <v>3.2324999999999999</v>
      </c>
      <c r="G30" s="3">
        <f t="shared" si="6"/>
        <v>1.5499999999999998</v>
      </c>
      <c r="H30" s="3">
        <f t="shared" si="7"/>
        <v>1.6124999999999998</v>
      </c>
      <c r="I30" s="2">
        <f t="shared" si="9"/>
        <v>1.835</v>
      </c>
      <c r="J30" s="6"/>
      <c r="K30" s="6">
        <v>0.39</v>
      </c>
      <c r="L30" s="6">
        <v>1.1599999999999999</v>
      </c>
      <c r="M30" s="6">
        <v>1.4450000000000001</v>
      </c>
      <c r="N30" s="3"/>
      <c r="O30" s="3"/>
    </row>
    <row r="31" spans="1:15" x14ac:dyDescent="0.3">
      <c r="A31" s="3">
        <v>28</v>
      </c>
      <c r="B31" s="2" t="s">
        <v>12</v>
      </c>
      <c r="C31" s="2" t="s">
        <v>15</v>
      </c>
      <c r="D31" s="2" t="s">
        <v>2</v>
      </c>
      <c r="E31" s="3">
        <f t="shared" si="4"/>
        <v>2.085</v>
      </c>
      <c r="F31" s="3">
        <f t="shared" si="5"/>
        <v>2.1475</v>
      </c>
      <c r="G31" s="3">
        <f t="shared" si="6"/>
        <v>0.46500000000000002</v>
      </c>
      <c r="H31" s="3">
        <f t="shared" si="7"/>
        <v>0.52750000000000008</v>
      </c>
      <c r="I31" s="2">
        <f t="shared" si="9"/>
        <v>0.90500000000000003</v>
      </c>
      <c r="J31" s="6">
        <v>0</v>
      </c>
      <c r="K31" s="6">
        <v>0.14000000000000001</v>
      </c>
      <c r="L31" s="6">
        <v>0.32500000000000001</v>
      </c>
      <c r="M31" s="6">
        <v>0.76500000000000001</v>
      </c>
      <c r="N31" s="3"/>
      <c r="O31" s="3"/>
    </row>
    <row r="32" spans="1:15" x14ac:dyDescent="0.3">
      <c r="A32" s="3">
        <v>29</v>
      </c>
      <c r="B32" s="2" t="s">
        <v>12</v>
      </c>
      <c r="C32" s="2" t="s">
        <v>15</v>
      </c>
      <c r="D32" s="2" t="s">
        <v>6</v>
      </c>
      <c r="E32" s="3">
        <f t="shared" si="4"/>
        <v>2.532</v>
      </c>
      <c r="F32" s="3">
        <f t="shared" si="5"/>
        <v>2.5945</v>
      </c>
      <c r="G32" s="3">
        <f t="shared" si="6"/>
        <v>0.91200000000000003</v>
      </c>
      <c r="H32" s="3">
        <f t="shared" si="7"/>
        <v>0.97450000000000003</v>
      </c>
      <c r="I32" s="2">
        <f t="shared" si="9"/>
        <v>1.9165000000000001</v>
      </c>
      <c r="J32" s="6">
        <v>0</v>
      </c>
      <c r="K32" s="6">
        <v>0.14000000000000001</v>
      </c>
      <c r="L32" s="6">
        <v>0.77200000000000002</v>
      </c>
      <c r="M32" s="6">
        <v>1.7765</v>
      </c>
      <c r="N32" s="3"/>
      <c r="O32" s="3"/>
    </row>
    <row r="33" spans="1:15" x14ac:dyDescent="0.3">
      <c r="A33" s="3">
        <v>30</v>
      </c>
      <c r="B33" s="2" t="s">
        <v>12</v>
      </c>
      <c r="C33" s="2" t="s">
        <v>15</v>
      </c>
      <c r="D33" s="2" t="s">
        <v>16</v>
      </c>
      <c r="E33" s="3">
        <f t="shared" si="4"/>
        <v>2.92</v>
      </c>
      <c r="F33" s="3">
        <f t="shared" si="5"/>
        <v>2.9824999999999999</v>
      </c>
      <c r="G33" s="3">
        <f t="shared" si="6"/>
        <v>1.2999999999999998</v>
      </c>
      <c r="H33" s="3">
        <f t="shared" si="7"/>
        <v>1.3624999999999998</v>
      </c>
      <c r="I33" s="2">
        <f t="shared" si="9"/>
        <v>1.585</v>
      </c>
      <c r="J33" s="6">
        <v>0</v>
      </c>
      <c r="K33" s="6">
        <v>0.14000000000000001</v>
      </c>
      <c r="L33" s="6">
        <v>1.1599999999999999</v>
      </c>
      <c r="M33" s="6">
        <v>1.4450000000000001</v>
      </c>
      <c r="N33" s="3"/>
      <c r="O33" s="3"/>
    </row>
    <row r="34" spans="1:15" x14ac:dyDescent="0.3">
      <c r="A34" s="3">
        <v>31</v>
      </c>
      <c r="B34" s="2" t="s">
        <v>12</v>
      </c>
      <c r="C34" s="2" t="s">
        <v>1</v>
      </c>
      <c r="D34" s="2" t="s">
        <v>2</v>
      </c>
      <c r="E34" s="3">
        <f t="shared" si="4"/>
        <v>2.335</v>
      </c>
      <c r="F34" s="3">
        <f t="shared" si="5"/>
        <v>2.3975</v>
      </c>
      <c r="G34" s="3">
        <f t="shared" si="6"/>
        <v>0.71500000000000008</v>
      </c>
      <c r="H34" s="3">
        <f t="shared" si="7"/>
        <v>0.77750000000000008</v>
      </c>
      <c r="I34" s="2">
        <f t="shared" si="9"/>
        <v>1.155</v>
      </c>
      <c r="J34" s="6">
        <v>0</v>
      </c>
      <c r="K34" s="6">
        <v>0.39</v>
      </c>
      <c r="L34" s="6">
        <v>0.32500000000000001</v>
      </c>
      <c r="M34" s="6">
        <v>0.76500000000000001</v>
      </c>
      <c r="N34" s="3"/>
      <c r="O34" s="3"/>
    </row>
    <row r="35" spans="1:15" x14ac:dyDescent="0.3">
      <c r="A35" s="3">
        <v>32</v>
      </c>
      <c r="B35" s="2" t="s">
        <v>12</v>
      </c>
      <c r="C35" s="2" t="s">
        <v>1</v>
      </c>
      <c r="D35" s="2" t="s">
        <v>6</v>
      </c>
      <c r="E35" s="3">
        <f t="shared" si="4"/>
        <v>2.782</v>
      </c>
      <c r="F35" s="3">
        <f t="shared" si="5"/>
        <v>2.8445</v>
      </c>
      <c r="G35" s="3">
        <f t="shared" si="6"/>
        <v>1.1619999999999999</v>
      </c>
      <c r="H35" s="3">
        <f t="shared" si="7"/>
        <v>1.2244999999999999</v>
      </c>
      <c r="I35" s="2">
        <f t="shared" si="9"/>
        <v>2.1665000000000001</v>
      </c>
      <c r="J35" s="6">
        <v>0</v>
      </c>
      <c r="K35" s="6">
        <v>0.39</v>
      </c>
      <c r="L35" s="6">
        <v>0.77200000000000002</v>
      </c>
      <c r="M35" s="6">
        <v>1.7765</v>
      </c>
      <c r="N35" s="3"/>
      <c r="O35" s="3"/>
    </row>
    <row r="36" spans="1:15" x14ac:dyDescent="0.3">
      <c r="A36" s="3">
        <v>33</v>
      </c>
      <c r="B36" s="2" t="s">
        <v>12</v>
      </c>
      <c r="C36" s="2" t="s">
        <v>1</v>
      </c>
      <c r="D36" s="2" t="s">
        <v>16</v>
      </c>
      <c r="E36" s="3">
        <f t="shared" si="4"/>
        <v>3.17</v>
      </c>
      <c r="F36" s="3">
        <f t="shared" si="5"/>
        <v>3.2324999999999999</v>
      </c>
      <c r="G36" s="3">
        <f t="shared" si="6"/>
        <v>1.5499999999999998</v>
      </c>
      <c r="H36" s="3">
        <f t="shared" si="7"/>
        <v>1.6124999999999998</v>
      </c>
      <c r="I36" s="2">
        <f t="shared" si="9"/>
        <v>1.835</v>
      </c>
      <c r="J36" s="6">
        <v>0</v>
      </c>
      <c r="K36" s="6">
        <v>0.39</v>
      </c>
      <c r="L36" s="6">
        <v>1.1599999999999999</v>
      </c>
      <c r="M36" s="6">
        <v>1.4450000000000001</v>
      </c>
      <c r="N36" s="3"/>
      <c r="O36" s="3"/>
    </row>
  </sheetData>
  <mergeCells count="3">
    <mergeCell ref="A1:D1"/>
    <mergeCell ref="E1:H1"/>
    <mergeCell ref="J1:M1"/>
  </mergeCells>
  <phoneticPr fontId="1" type="noConversion"/>
  <conditionalFormatting sqref="E3:I36">
    <cfRule type="cellIs" dxfId="2" priority="1" operator="greaterThan">
      <formula>2</formula>
    </cfRule>
    <cfRule type="cellIs" dxfId="1" priority="2" operator="between">
      <formula>1</formula>
      <formula>2</formula>
    </cfRule>
    <cfRule type="cellIs" dxfId="0" priority="3" operator="lessThan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workbookViewId="0"/>
  </sheetViews>
  <sheetFormatPr defaultColWidth="8.9140625" defaultRowHeight="14" x14ac:dyDescent="0.3"/>
  <cols>
    <col min="1" max="1" width="7.58203125" style="2" bestFit="1" customWidth="1"/>
    <col min="2" max="2" width="35.9140625" style="2" bestFit="1" customWidth="1"/>
    <col min="3" max="3" width="9.58203125" style="2" bestFit="1" customWidth="1"/>
    <col min="4" max="4" width="6.58203125" style="2" bestFit="1" customWidth="1"/>
    <col min="5" max="16384" width="8.9140625" style="2"/>
  </cols>
  <sheetData>
    <row r="1" spans="1:4" x14ac:dyDescent="0.3">
      <c r="A1" s="1" t="s">
        <v>11</v>
      </c>
      <c r="B1" s="1" t="s">
        <v>10</v>
      </c>
      <c r="C1" s="1" t="s">
        <v>24</v>
      </c>
      <c r="D1" s="1" t="s">
        <v>14</v>
      </c>
    </row>
    <row r="3" spans="1:4" x14ac:dyDescent="0.3">
      <c r="A3" s="2" t="s">
        <v>0</v>
      </c>
      <c r="B3" s="2" t="s">
        <v>9</v>
      </c>
      <c r="C3" s="2">
        <v>1.62</v>
      </c>
      <c r="D3" s="2">
        <f>C3*16</f>
        <v>25.92</v>
      </c>
    </row>
    <row r="4" spans="1:4" x14ac:dyDescent="0.3">
      <c r="A4" s="2" t="s">
        <v>17</v>
      </c>
      <c r="B4" s="2" t="s">
        <v>12</v>
      </c>
      <c r="C4" s="2">
        <v>6.25E-2</v>
      </c>
      <c r="D4" s="2">
        <f t="shared" ref="D4:D25" si="0">C4*16</f>
        <v>1</v>
      </c>
    </row>
    <row r="6" spans="1:4" x14ac:dyDescent="0.3">
      <c r="A6" s="2" t="s">
        <v>12</v>
      </c>
      <c r="B6" s="2" t="s">
        <v>0</v>
      </c>
      <c r="C6" s="2">
        <v>-0.41249999999999998</v>
      </c>
      <c r="D6" s="2">
        <f t="shared" si="0"/>
        <v>-6.6</v>
      </c>
    </row>
    <row r="7" spans="1:4" x14ac:dyDescent="0.3">
      <c r="A7" s="2" t="s">
        <v>15</v>
      </c>
      <c r="B7" s="2" t="s">
        <v>0</v>
      </c>
      <c r="C7" s="2">
        <v>-0.41249999999999998</v>
      </c>
      <c r="D7" s="2">
        <f t="shared" si="0"/>
        <v>-6.6</v>
      </c>
    </row>
    <row r="8" spans="1:4" x14ac:dyDescent="0.3">
      <c r="A8" s="2" t="s">
        <v>1</v>
      </c>
      <c r="B8" s="2" t="s">
        <v>0</v>
      </c>
      <c r="C8" s="2">
        <v>-0.1</v>
      </c>
      <c r="D8" s="2">
        <f t="shared" si="0"/>
        <v>-1.6</v>
      </c>
    </row>
    <row r="9" spans="1:4" x14ac:dyDescent="0.3">
      <c r="A9" s="2" t="s">
        <v>2</v>
      </c>
      <c r="B9" s="2" t="s">
        <v>0</v>
      </c>
      <c r="C9" s="2">
        <v>0.26874999999999999</v>
      </c>
      <c r="D9" s="2">
        <f t="shared" si="0"/>
        <v>4.3</v>
      </c>
    </row>
    <row r="10" spans="1:4" x14ac:dyDescent="0.3">
      <c r="A10" s="2" t="s">
        <v>3</v>
      </c>
      <c r="B10" s="2" t="s">
        <v>0</v>
      </c>
      <c r="C10" s="2">
        <v>0.51249999999999996</v>
      </c>
      <c r="D10" s="2">
        <f t="shared" si="0"/>
        <v>8.1999999999999993</v>
      </c>
    </row>
    <row r="11" spans="1:4" x14ac:dyDescent="0.3">
      <c r="A11" s="2" t="s">
        <v>4</v>
      </c>
      <c r="B11" s="2" t="s">
        <v>0</v>
      </c>
      <c r="C11" s="2">
        <v>0.61250000000000004</v>
      </c>
      <c r="D11" s="2">
        <f t="shared" si="0"/>
        <v>9.8000000000000007</v>
      </c>
    </row>
    <row r="12" spans="1:4" x14ac:dyDescent="0.3">
      <c r="A12" s="2" t="s">
        <v>5</v>
      </c>
      <c r="B12" s="2" t="s">
        <v>0</v>
      </c>
      <c r="C12" s="2">
        <v>0.71875</v>
      </c>
      <c r="D12" s="2">
        <f t="shared" si="0"/>
        <v>11.5</v>
      </c>
    </row>
    <row r="13" spans="1:4" x14ac:dyDescent="0.3">
      <c r="A13" s="2" t="s">
        <v>6</v>
      </c>
      <c r="B13" s="2" t="s">
        <v>0</v>
      </c>
      <c r="C13" s="2">
        <v>0.77</v>
      </c>
      <c r="D13" s="2">
        <f t="shared" si="0"/>
        <v>12.32</v>
      </c>
    </row>
    <row r="14" spans="1:4" x14ac:dyDescent="0.3">
      <c r="A14" s="2" t="s">
        <v>7</v>
      </c>
      <c r="B14" s="2" t="s">
        <v>0</v>
      </c>
      <c r="C14" s="2">
        <v>0.84375</v>
      </c>
      <c r="D14" s="2">
        <f t="shared" si="0"/>
        <v>13.5</v>
      </c>
    </row>
    <row r="15" spans="1:4" x14ac:dyDescent="0.3">
      <c r="A15" s="2" t="s">
        <v>16</v>
      </c>
      <c r="B15" s="2" t="s">
        <v>0</v>
      </c>
      <c r="C15" s="2">
        <v>1.1000000000000001</v>
      </c>
      <c r="D15" s="2">
        <f t="shared" si="0"/>
        <v>17.600000000000001</v>
      </c>
    </row>
    <row r="16" spans="1:4" x14ac:dyDescent="0.3">
      <c r="A16" s="2" t="s">
        <v>8</v>
      </c>
      <c r="B16" s="2" t="s">
        <v>0</v>
      </c>
      <c r="C16" s="2">
        <v>1.4</v>
      </c>
      <c r="D16" s="2">
        <f t="shared" si="0"/>
        <v>22.4</v>
      </c>
    </row>
    <row r="17" spans="1:4" x14ac:dyDescent="0.3">
      <c r="A17" s="2" t="s">
        <v>41</v>
      </c>
      <c r="B17" s="2" t="s">
        <v>0</v>
      </c>
      <c r="C17" s="2">
        <v>3.4</v>
      </c>
      <c r="D17" s="2">
        <f t="shared" si="0"/>
        <v>54.4</v>
      </c>
    </row>
    <row r="19" spans="1:4" x14ac:dyDescent="0.3">
      <c r="A19" s="2" t="s">
        <v>15</v>
      </c>
      <c r="B19" s="2" t="s">
        <v>23</v>
      </c>
      <c r="C19" s="2">
        <f>0.25-1/16</f>
        <v>0.1875</v>
      </c>
      <c r="D19" s="2">
        <f t="shared" si="0"/>
        <v>3</v>
      </c>
    </row>
    <row r="21" spans="1:4" x14ac:dyDescent="0.3">
      <c r="A21" s="2" t="s">
        <v>1</v>
      </c>
      <c r="B21" s="2" t="s">
        <v>23</v>
      </c>
      <c r="C21" s="2">
        <v>0.5</v>
      </c>
      <c r="D21" s="2">
        <f t="shared" si="0"/>
        <v>8</v>
      </c>
    </row>
    <row r="23" spans="1:4" x14ac:dyDescent="0.3">
      <c r="A23" s="2" t="s">
        <v>12</v>
      </c>
      <c r="B23" s="2" t="s">
        <v>13</v>
      </c>
      <c r="C23" s="2">
        <f>0.25-1/16</f>
        <v>0.1875</v>
      </c>
      <c r="D23" s="2">
        <f t="shared" si="0"/>
        <v>3</v>
      </c>
    </row>
    <row r="24" spans="1:4" x14ac:dyDescent="0.3">
      <c r="A24" s="2" t="s">
        <v>12</v>
      </c>
      <c r="B24" s="2" t="s">
        <v>23</v>
      </c>
      <c r="C24" s="2">
        <f t="shared" ref="C24:C25" si="1">0.25-1/16</f>
        <v>0.1875</v>
      </c>
      <c r="D24" s="2">
        <f t="shared" si="0"/>
        <v>3</v>
      </c>
    </row>
    <row r="25" spans="1:4" x14ac:dyDescent="0.3">
      <c r="A25" s="2" t="s">
        <v>12</v>
      </c>
      <c r="B25" s="2" t="s">
        <v>22</v>
      </c>
      <c r="C25" s="2">
        <f t="shared" si="1"/>
        <v>0.1875</v>
      </c>
      <c r="D25" s="2">
        <f t="shared" si="0"/>
        <v>3</v>
      </c>
    </row>
    <row r="26" spans="1:4" x14ac:dyDescent="0.3">
      <c r="A26" s="2" t="s">
        <v>12</v>
      </c>
      <c r="B26" s="2" t="s">
        <v>41</v>
      </c>
      <c r="C26" s="2">
        <v>0.6875</v>
      </c>
      <c r="D26" s="2">
        <v>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9D88C-9594-4ED7-93DA-80DA60D28A9A}">
  <dimension ref="A1:D24"/>
  <sheetViews>
    <sheetView workbookViewId="0"/>
  </sheetViews>
  <sheetFormatPr defaultRowHeight="14" x14ac:dyDescent="0.3"/>
  <cols>
    <col min="1" max="1" width="6.6640625" bestFit="1" customWidth="1"/>
    <col min="2" max="2" width="32" bestFit="1" customWidth="1"/>
    <col min="3" max="3" width="8.5" bestFit="1" customWidth="1"/>
    <col min="4" max="4" width="6.1640625" bestFit="1" customWidth="1"/>
  </cols>
  <sheetData>
    <row r="1" spans="1:4" x14ac:dyDescent="0.3">
      <c r="A1" s="9" t="s">
        <v>11</v>
      </c>
      <c r="B1" s="9" t="s">
        <v>10</v>
      </c>
      <c r="C1" s="9" t="s">
        <v>24</v>
      </c>
      <c r="D1" s="9" t="s">
        <v>14</v>
      </c>
    </row>
    <row r="2" spans="1:4" x14ac:dyDescent="0.3">
      <c r="A2" s="2"/>
      <c r="B2" s="2"/>
      <c r="C2" s="2"/>
      <c r="D2" s="2"/>
    </row>
    <row r="3" spans="1:4" x14ac:dyDescent="0.3">
      <c r="A3" s="2" t="s">
        <v>0</v>
      </c>
      <c r="B3" s="2" t="s">
        <v>9</v>
      </c>
      <c r="C3" s="2">
        <v>1.62</v>
      </c>
      <c r="D3" s="2">
        <f>C3*16</f>
        <v>25.92</v>
      </c>
    </row>
    <row r="4" spans="1:4" x14ac:dyDescent="0.3">
      <c r="A4" s="2" t="s">
        <v>17</v>
      </c>
      <c r="B4" s="2" t="s">
        <v>12</v>
      </c>
      <c r="C4" s="2">
        <v>6.25E-2</v>
      </c>
      <c r="D4" s="2">
        <f t="shared" ref="D4:D24" si="0">C4*16</f>
        <v>1</v>
      </c>
    </row>
    <row r="5" spans="1:4" x14ac:dyDescent="0.3">
      <c r="A5" s="2"/>
      <c r="B5" s="2"/>
      <c r="C5" s="2"/>
      <c r="D5" s="2"/>
    </row>
    <row r="6" spans="1:4" x14ac:dyDescent="0.3">
      <c r="A6" s="2" t="s">
        <v>12</v>
      </c>
      <c r="B6" s="2" t="s">
        <v>0</v>
      </c>
      <c r="C6" s="2">
        <v>-0.35</v>
      </c>
      <c r="D6" s="2">
        <f t="shared" si="0"/>
        <v>-5.6</v>
      </c>
    </row>
    <row r="7" spans="1:4" x14ac:dyDescent="0.3">
      <c r="A7" s="2" t="s">
        <v>15</v>
      </c>
      <c r="B7" s="2" t="s">
        <v>0</v>
      </c>
      <c r="C7" s="2">
        <v>-0.35</v>
      </c>
      <c r="D7" s="2">
        <f t="shared" si="0"/>
        <v>-5.6</v>
      </c>
    </row>
    <row r="8" spans="1:4" x14ac:dyDescent="0.3">
      <c r="A8" s="2" t="s">
        <v>1</v>
      </c>
      <c r="B8" s="2" t="s">
        <v>0</v>
      </c>
      <c r="C8" s="2">
        <v>-0.1</v>
      </c>
      <c r="D8" s="2">
        <f t="shared" si="0"/>
        <v>-1.6</v>
      </c>
    </row>
    <row r="9" spans="1:4" x14ac:dyDescent="0.3">
      <c r="A9" s="2" t="s">
        <v>2</v>
      </c>
      <c r="B9" s="2" t="s">
        <v>0</v>
      </c>
      <c r="C9" s="2">
        <v>0.32500000000000001</v>
      </c>
      <c r="D9" s="2">
        <f t="shared" si="0"/>
        <v>5.2</v>
      </c>
    </row>
    <row r="10" spans="1:4" x14ac:dyDescent="0.3">
      <c r="A10" s="2" t="s">
        <v>3</v>
      </c>
      <c r="B10" s="2" t="s">
        <v>0</v>
      </c>
      <c r="C10" s="2">
        <v>0.52500000000000002</v>
      </c>
      <c r="D10" s="2">
        <f t="shared" si="0"/>
        <v>8.4</v>
      </c>
    </row>
    <row r="11" spans="1:4" x14ac:dyDescent="0.3">
      <c r="A11" s="2" t="s">
        <v>4</v>
      </c>
      <c r="B11" s="2" t="s">
        <v>0</v>
      </c>
      <c r="C11" s="2">
        <v>0.6</v>
      </c>
      <c r="D11" s="2">
        <f t="shared" si="0"/>
        <v>9.6</v>
      </c>
    </row>
    <row r="12" spans="1:4" x14ac:dyDescent="0.3">
      <c r="A12" s="2" t="s">
        <v>5</v>
      </c>
      <c r="B12" s="2" t="s">
        <v>0</v>
      </c>
      <c r="C12" s="2">
        <v>0.66249999999999998</v>
      </c>
      <c r="D12" s="2">
        <f t="shared" si="0"/>
        <v>10.6</v>
      </c>
    </row>
    <row r="13" spans="1:4" x14ac:dyDescent="0.3">
      <c r="A13" s="2" t="s">
        <v>6</v>
      </c>
      <c r="B13" s="2" t="s">
        <v>0</v>
      </c>
      <c r="C13" s="2">
        <v>0.77200000000000002</v>
      </c>
      <c r="D13" s="2">
        <f t="shared" si="0"/>
        <v>12.352</v>
      </c>
    </row>
    <row r="14" spans="1:4" x14ac:dyDescent="0.3">
      <c r="A14" s="2" t="s">
        <v>7</v>
      </c>
      <c r="B14" s="2" t="s">
        <v>0</v>
      </c>
      <c r="C14" s="2">
        <v>0.85</v>
      </c>
      <c r="D14" s="2">
        <f t="shared" si="0"/>
        <v>13.6</v>
      </c>
    </row>
    <row r="15" spans="1:4" x14ac:dyDescent="0.3">
      <c r="A15" s="2" t="s">
        <v>16</v>
      </c>
      <c r="B15" s="2" t="s">
        <v>0</v>
      </c>
      <c r="C15" s="2">
        <v>1.1599999999999999</v>
      </c>
      <c r="D15" s="2">
        <f t="shared" si="0"/>
        <v>18.559999999999999</v>
      </c>
    </row>
    <row r="16" spans="1:4" x14ac:dyDescent="0.3">
      <c r="A16" s="2" t="s">
        <v>8</v>
      </c>
      <c r="B16" s="2" t="s">
        <v>0</v>
      </c>
      <c r="C16" s="2">
        <v>1.425</v>
      </c>
      <c r="D16" s="2">
        <f t="shared" si="0"/>
        <v>22.8</v>
      </c>
    </row>
    <row r="17" spans="1:4" x14ac:dyDescent="0.3">
      <c r="A17" s="2"/>
      <c r="B17" s="2"/>
      <c r="C17" s="2"/>
      <c r="D17" s="2"/>
    </row>
    <row r="18" spans="1:4" x14ac:dyDescent="0.3">
      <c r="A18" s="2" t="s">
        <v>15</v>
      </c>
      <c r="B18" s="2" t="s">
        <v>23</v>
      </c>
      <c r="C18" s="2">
        <v>0.04</v>
      </c>
      <c r="D18" s="2">
        <f t="shared" si="0"/>
        <v>0.64</v>
      </c>
    </row>
    <row r="19" spans="1:4" x14ac:dyDescent="0.3">
      <c r="A19" s="2"/>
      <c r="B19" s="2"/>
      <c r="C19" s="2"/>
      <c r="D19" s="2"/>
    </row>
    <row r="20" spans="1:4" x14ac:dyDescent="0.3">
      <c r="A20" s="2" t="s">
        <v>1</v>
      </c>
      <c r="B20" s="2" t="s">
        <v>23</v>
      </c>
      <c r="C20" s="2">
        <v>0.39</v>
      </c>
      <c r="D20" s="2">
        <f t="shared" si="0"/>
        <v>6.24</v>
      </c>
    </row>
    <row r="21" spans="1:4" x14ac:dyDescent="0.3">
      <c r="A21" s="2"/>
      <c r="B21" s="2"/>
      <c r="C21" s="2"/>
      <c r="D21" s="2"/>
    </row>
    <row r="22" spans="1:4" x14ac:dyDescent="0.3">
      <c r="A22" s="2" t="s">
        <v>12</v>
      </c>
      <c r="B22" s="2" t="s">
        <v>13</v>
      </c>
      <c r="C22" s="2">
        <v>0.14000000000000001</v>
      </c>
      <c r="D22" s="2">
        <f t="shared" si="0"/>
        <v>2.2400000000000002</v>
      </c>
    </row>
    <row r="23" spans="1:4" x14ac:dyDescent="0.3">
      <c r="A23" s="2" t="s">
        <v>12</v>
      </c>
      <c r="B23" s="2" t="s">
        <v>23</v>
      </c>
      <c r="C23" s="2">
        <v>0.14000000000000001</v>
      </c>
      <c r="D23" s="2">
        <f t="shared" si="0"/>
        <v>2.2400000000000002</v>
      </c>
    </row>
    <row r="24" spans="1:4" x14ac:dyDescent="0.3">
      <c r="A24" s="2" t="s">
        <v>12</v>
      </c>
      <c r="B24" s="2" t="s">
        <v>22</v>
      </c>
      <c r="C24" s="2">
        <v>0.14000000000000001</v>
      </c>
      <c r="D24" s="2">
        <f t="shared" si="0"/>
        <v>2.2400000000000002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1.20.4+组合数据</vt:lpstr>
      <vt:lpstr>1.20.1-组合数据</vt:lpstr>
      <vt:lpstr>1.20.4+测试数据</vt:lpstr>
      <vt:lpstr>1.20.1-测试数据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acacia acacia</dc:creator>
  <cp:lastModifiedBy>acacia acacia</cp:lastModifiedBy>
  <dcterms:created xsi:type="dcterms:W3CDTF">2015-06-05T18:19:34Z</dcterms:created>
  <dcterms:modified xsi:type="dcterms:W3CDTF">2025-04-16T07:17:17Z</dcterms:modified>
</cp:coreProperties>
</file>