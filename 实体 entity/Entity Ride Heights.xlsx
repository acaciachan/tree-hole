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D:\Minecraft\tree-hole\实体 entity\"/>
    </mc:Choice>
  </mc:AlternateContent>
  <xr:revisionPtr revIDLastSave="0" documentId="13_ncr:1_{742C1B0F-8214-4119-8315-B1FD789ABB33}" xr6:coauthVersionLast="47" xr6:coauthVersionMax="47" xr10:uidLastSave="{00000000-0000-0000-0000-000000000000}"/>
  <bookViews>
    <workbookView xWindow="-110" yWindow="-110" windowWidth="25820" windowHeight="14020" activeTab="5" xr2:uid="{00000000-000D-0000-FFFF-FFFF00000000}"/>
  </bookViews>
  <sheets>
    <sheet name="Information Guide" sheetId="2" r:id="rId1"/>
    <sheet name="1.20.4+ (Pixels)" sheetId="3" r:id="rId2"/>
    <sheet name="1.20.4+ (Blocks)" sheetId="4" r:id="rId3"/>
    <sheet name="1.20.1- (Pixels)" sheetId="5" r:id="rId4"/>
    <sheet name="1.20.1- (Blocks)" sheetId="6" r:id="rId5"/>
    <sheet name="1.20.4+ Original Data" sheetId="7" r:id="rId6"/>
    <sheet name="1.20.1- Original Data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4" i="4" l="1"/>
  <c r="F24" i="4"/>
  <c r="G24" i="4"/>
  <c r="H24" i="4"/>
  <c r="I24" i="4"/>
  <c r="I11" i="4"/>
  <c r="H11" i="4"/>
  <c r="G11" i="4"/>
  <c r="F11" i="4"/>
  <c r="E11" i="4"/>
  <c r="I24" i="3"/>
  <c r="H24" i="3"/>
  <c r="G24" i="3"/>
  <c r="F24" i="3"/>
  <c r="E24" i="3"/>
  <c r="I11" i="3"/>
  <c r="H11" i="3"/>
  <c r="G11" i="3"/>
  <c r="F11" i="3"/>
  <c r="E11" i="3"/>
  <c r="D10" i="7"/>
  <c r="E4" i="3"/>
  <c r="F4" i="3"/>
  <c r="G4" i="3"/>
  <c r="H4" i="3"/>
  <c r="I4" i="3"/>
  <c r="E5" i="3"/>
  <c r="F5" i="3"/>
  <c r="G5" i="3"/>
  <c r="H5" i="3"/>
  <c r="I5" i="3"/>
  <c r="E6" i="3"/>
  <c r="F6" i="3"/>
  <c r="G6" i="3"/>
  <c r="H6" i="3"/>
  <c r="I6" i="3"/>
  <c r="E7" i="3"/>
  <c r="F7" i="3"/>
  <c r="G7" i="3"/>
  <c r="H7" i="3"/>
  <c r="I7" i="3"/>
  <c r="E8" i="3"/>
  <c r="F8" i="3"/>
  <c r="G8" i="3"/>
  <c r="H8" i="3"/>
  <c r="I8" i="3"/>
  <c r="E9" i="3"/>
  <c r="F9" i="3"/>
  <c r="G9" i="3"/>
  <c r="H9" i="3"/>
  <c r="I9" i="3"/>
  <c r="E10" i="3"/>
  <c r="F10" i="3"/>
  <c r="G10" i="3"/>
  <c r="H10" i="3"/>
  <c r="I10" i="3"/>
  <c r="E12" i="3"/>
  <c r="F12" i="3"/>
  <c r="G12" i="3"/>
  <c r="H12" i="3"/>
  <c r="I12" i="3"/>
  <c r="E13" i="3"/>
  <c r="F13" i="3"/>
  <c r="G13" i="3"/>
  <c r="H13" i="3"/>
  <c r="I13" i="3"/>
  <c r="E14" i="3"/>
  <c r="F14" i="3"/>
  <c r="G14" i="3"/>
  <c r="H14" i="3"/>
  <c r="I14" i="3"/>
  <c r="E15" i="3"/>
  <c r="F15" i="3"/>
  <c r="G15" i="3"/>
  <c r="H15" i="3"/>
  <c r="I15" i="3"/>
  <c r="E16" i="3"/>
  <c r="F16" i="3"/>
  <c r="G16" i="3"/>
  <c r="H16" i="3"/>
  <c r="I16" i="3"/>
  <c r="E17" i="3"/>
  <c r="F17" i="3"/>
  <c r="G17" i="3"/>
  <c r="H17" i="3"/>
  <c r="I17" i="3"/>
  <c r="E18" i="3"/>
  <c r="F18" i="3"/>
  <c r="G18" i="3"/>
  <c r="H18" i="3"/>
  <c r="I18" i="3"/>
  <c r="E19" i="3"/>
  <c r="F19" i="3"/>
  <c r="G19" i="3"/>
  <c r="H19" i="3"/>
  <c r="I19" i="3"/>
  <c r="E20" i="3"/>
  <c r="F20" i="3"/>
  <c r="G20" i="3"/>
  <c r="H20" i="3"/>
  <c r="I20" i="3"/>
  <c r="E21" i="3"/>
  <c r="F21" i="3"/>
  <c r="G21" i="3"/>
  <c r="H21" i="3"/>
  <c r="I21" i="3"/>
  <c r="E22" i="3"/>
  <c r="F22" i="3"/>
  <c r="G22" i="3"/>
  <c r="H22" i="3"/>
  <c r="I22" i="3"/>
  <c r="E23" i="3"/>
  <c r="F23" i="3"/>
  <c r="G23" i="3"/>
  <c r="H23" i="3"/>
  <c r="I23" i="3"/>
  <c r="E25" i="3"/>
  <c r="F25" i="3"/>
  <c r="G25" i="3"/>
  <c r="H25" i="3"/>
  <c r="I25" i="3"/>
  <c r="E26" i="3"/>
  <c r="F26" i="3"/>
  <c r="G26" i="3"/>
  <c r="H26" i="3"/>
  <c r="I26" i="3"/>
  <c r="E27" i="3"/>
  <c r="F27" i="3"/>
  <c r="G27" i="3"/>
  <c r="H27" i="3"/>
  <c r="I27" i="3"/>
  <c r="E28" i="3"/>
  <c r="F28" i="3"/>
  <c r="G28" i="3"/>
  <c r="H28" i="3"/>
  <c r="I28" i="3"/>
  <c r="E29" i="3"/>
  <c r="F29" i="3"/>
  <c r="G29" i="3"/>
  <c r="H29" i="3"/>
  <c r="I29" i="3"/>
  <c r="E30" i="3"/>
  <c r="F30" i="3"/>
  <c r="G30" i="3"/>
  <c r="H30" i="3"/>
  <c r="I30" i="3"/>
  <c r="E31" i="3"/>
  <c r="F31" i="3"/>
  <c r="G31" i="3"/>
  <c r="H31" i="3"/>
  <c r="I31" i="3"/>
  <c r="E32" i="3"/>
  <c r="F32" i="3"/>
  <c r="G32" i="3"/>
  <c r="H32" i="3"/>
  <c r="I32" i="3"/>
  <c r="E33" i="3"/>
  <c r="F33" i="3"/>
  <c r="G33" i="3"/>
  <c r="H33" i="3"/>
  <c r="I33" i="3"/>
  <c r="E34" i="3"/>
  <c r="F34" i="3"/>
  <c r="G34" i="3"/>
  <c r="H34" i="3"/>
  <c r="I34" i="3"/>
  <c r="E35" i="3"/>
  <c r="F35" i="3"/>
  <c r="G35" i="3"/>
  <c r="H35" i="3"/>
  <c r="I35" i="3"/>
  <c r="E36" i="3"/>
  <c r="F36" i="3"/>
  <c r="G36" i="3"/>
  <c r="H36" i="3"/>
  <c r="I36" i="3"/>
  <c r="E37" i="3"/>
  <c r="F37" i="3"/>
  <c r="G37" i="3"/>
  <c r="H37" i="3"/>
  <c r="I37" i="3"/>
  <c r="E38" i="3"/>
  <c r="F38" i="3"/>
  <c r="G38" i="3"/>
  <c r="H38" i="3"/>
  <c r="I38" i="3"/>
  <c r="E39" i="3"/>
  <c r="F39" i="3"/>
  <c r="G39" i="3"/>
  <c r="H39" i="3"/>
  <c r="I39" i="3"/>
  <c r="E40" i="3"/>
  <c r="F40" i="3"/>
  <c r="G40" i="3"/>
  <c r="H40" i="3"/>
  <c r="I40" i="3"/>
  <c r="E41" i="3"/>
  <c r="F41" i="3"/>
  <c r="G41" i="3"/>
  <c r="H41" i="3"/>
  <c r="I41" i="3"/>
  <c r="E42" i="3"/>
  <c r="F42" i="3"/>
  <c r="G42" i="3"/>
  <c r="H42" i="3"/>
  <c r="I42" i="3"/>
  <c r="E43" i="3"/>
  <c r="F43" i="3"/>
  <c r="G43" i="3"/>
  <c r="H43" i="3"/>
  <c r="I43" i="3"/>
  <c r="E44" i="3"/>
  <c r="F44" i="3"/>
  <c r="G44" i="3"/>
  <c r="H44" i="3"/>
  <c r="I44" i="3"/>
  <c r="E45" i="3"/>
  <c r="F45" i="3"/>
  <c r="G45" i="3"/>
  <c r="H45" i="3"/>
  <c r="I45" i="3"/>
  <c r="E46" i="3"/>
  <c r="F46" i="3"/>
  <c r="G46" i="3"/>
  <c r="H46" i="3"/>
  <c r="I46" i="3"/>
  <c r="E47" i="3"/>
  <c r="F47" i="3"/>
  <c r="G47" i="3"/>
  <c r="H47" i="3"/>
  <c r="I47" i="3"/>
  <c r="E48" i="3"/>
  <c r="F48" i="3"/>
  <c r="G48" i="3"/>
  <c r="H48" i="3"/>
  <c r="I48" i="3"/>
  <c r="E49" i="3"/>
  <c r="F49" i="3"/>
  <c r="G49" i="3"/>
  <c r="H49" i="3"/>
  <c r="I49" i="3"/>
  <c r="E50" i="3"/>
  <c r="F50" i="3"/>
  <c r="G50" i="3"/>
  <c r="H50" i="3"/>
  <c r="I50" i="3"/>
  <c r="E51" i="3"/>
  <c r="F51" i="3"/>
  <c r="G51" i="3"/>
  <c r="H51" i="3"/>
  <c r="I51" i="3"/>
  <c r="E52" i="3"/>
  <c r="F52" i="3"/>
  <c r="G52" i="3"/>
  <c r="H52" i="3"/>
  <c r="I52" i="3"/>
  <c r="E53" i="3"/>
  <c r="F53" i="3"/>
  <c r="G53" i="3"/>
  <c r="H53" i="3"/>
  <c r="I53" i="3"/>
  <c r="E54" i="3"/>
  <c r="F54" i="3"/>
  <c r="G54" i="3"/>
  <c r="H54" i="3"/>
  <c r="I54" i="3"/>
  <c r="E4" i="4"/>
  <c r="F4" i="4"/>
  <c r="G4" i="4"/>
  <c r="H4" i="4"/>
  <c r="E5" i="4"/>
  <c r="F5" i="4"/>
  <c r="G5" i="4"/>
  <c r="H5" i="4"/>
  <c r="E6" i="4"/>
  <c r="F6" i="4"/>
  <c r="G6" i="4"/>
  <c r="H6" i="4"/>
  <c r="E7" i="4"/>
  <c r="F7" i="4"/>
  <c r="G7" i="4"/>
  <c r="H7" i="4"/>
  <c r="E8" i="4"/>
  <c r="F8" i="4"/>
  <c r="G8" i="4"/>
  <c r="H8" i="4"/>
  <c r="E9" i="4"/>
  <c r="F9" i="4"/>
  <c r="G9" i="4"/>
  <c r="H9" i="4"/>
  <c r="E10" i="4"/>
  <c r="F10" i="4"/>
  <c r="G10" i="4"/>
  <c r="H10" i="4"/>
  <c r="E12" i="4"/>
  <c r="F12" i="4"/>
  <c r="G12" i="4"/>
  <c r="H12" i="4"/>
  <c r="E13" i="4"/>
  <c r="F13" i="4"/>
  <c r="G13" i="4"/>
  <c r="H13" i="4"/>
  <c r="E14" i="4"/>
  <c r="F14" i="4"/>
  <c r="G14" i="4"/>
  <c r="H14" i="4"/>
  <c r="E15" i="4"/>
  <c r="F15" i="4"/>
  <c r="G15" i="4"/>
  <c r="H15" i="4"/>
  <c r="E16" i="4"/>
  <c r="F16" i="4"/>
  <c r="G16" i="4"/>
  <c r="H16" i="4"/>
  <c r="E17" i="4"/>
  <c r="F17" i="4"/>
  <c r="G17" i="4"/>
  <c r="H17" i="4"/>
  <c r="E18" i="4"/>
  <c r="F18" i="4"/>
  <c r="G18" i="4"/>
  <c r="H18" i="4"/>
  <c r="E19" i="4"/>
  <c r="F19" i="4"/>
  <c r="G19" i="4"/>
  <c r="H19" i="4"/>
  <c r="E20" i="4"/>
  <c r="F20" i="4"/>
  <c r="G20" i="4"/>
  <c r="H20" i="4"/>
  <c r="E21" i="4"/>
  <c r="F21" i="4"/>
  <c r="G21" i="4"/>
  <c r="H21" i="4"/>
  <c r="E22" i="4"/>
  <c r="F22" i="4"/>
  <c r="G22" i="4"/>
  <c r="H22" i="4"/>
  <c r="E23" i="4"/>
  <c r="F23" i="4"/>
  <c r="G23" i="4"/>
  <c r="H23" i="4"/>
  <c r="E25" i="4"/>
  <c r="F25" i="4"/>
  <c r="G25" i="4"/>
  <c r="H25" i="4"/>
  <c r="E26" i="4"/>
  <c r="F26" i="4"/>
  <c r="G26" i="4"/>
  <c r="H26" i="4"/>
  <c r="E27" i="4"/>
  <c r="F27" i="4"/>
  <c r="G27" i="4"/>
  <c r="H27" i="4"/>
  <c r="E28" i="4"/>
  <c r="F28" i="4"/>
  <c r="G28" i="4"/>
  <c r="H28" i="4"/>
  <c r="E29" i="4"/>
  <c r="F29" i="4"/>
  <c r="G29" i="4"/>
  <c r="H29" i="4"/>
  <c r="E30" i="4"/>
  <c r="F30" i="4"/>
  <c r="G30" i="4"/>
  <c r="H30" i="4"/>
  <c r="E31" i="4"/>
  <c r="F31" i="4"/>
  <c r="G31" i="4"/>
  <c r="H31" i="4"/>
  <c r="E32" i="4"/>
  <c r="F32" i="4"/>
  <c r="G32" i="4"/>
  <c r="H32" i="4"/>
  <c r="E33" i="4"/>
  <c r="F33" i="4"/>
  <c r="G33" i="4"/>
  <c r="H33" i="4"/>
  <c r="E34" i="4"/>
  <c r="F34" i="4"/>
  <c r="G34" i="4"/>
  <c r="H34" i="4"/>
  <c r="E35" i="4"/>
  <c r="F35" i="4"/>
  <c r="G35" i="4"/>
  <c r="H35" i="4"/>
  <c r="E36" i="4"/>
  <c r="F36" i="4"/>
  <c r="G36" i="4"/>
  <c r="H36" i="4"/>
  <c r="E37" i="4"/>
  <c r="F37" i="4"/>
  <c r="G37" i="4"/>
  <c r="H37" i="4"/>
  <c r="E38" i="4"/>
  <c r="F38" i="4"/>
  <c r="G38" i="4"/>
  <c r="H38" i="4"/>
  <c r="E39" i="4"/>
  <c r="F39" i="4"/>
  <c r="G39" i="4"/>
  <c r="H39" i="4"/>
  <c r="E40" i="4"/>
  <c r="F40" i="4"/>
  <c r="G40" i="4"/>
  <c r="H40" i="4"/>
  <c r="E41" i="4"/>
  <c r="F41" i="4"/>
  <c r="G41" i="4"/>
  <c r="H41" i="4"/>
  <c r="E42" i="4"/>
  <c r="F42" i="4"/>
  <c r="G42" i="4"/>
  <c r="H42" i="4"/>
  <c r="E43" i="4"/>
  <c r="F43" i="4"/>
  <c r="G43" i="4"/>
  <c r="H43" i="4"/>
  <c r="E44" i="4"/>
  <c r="F44" i="4"/>
  <c r="G44" i="4"/>
  <c r="H44" i="4"/>
  <c r="E45" i="4"/>
  <c r="F45" i="4"/>
  <c r="G45" i="4"/>
  <c r="H45" i="4"/>
  <c r="E46" i="4"/>
  <c r="F46" i="4"/>
  <c r="G46" i="4"/>
  <c r="H46" i="4"/>
  <c r="E47" i="4"/>
  <c r="F47" i="4"/>
  <c r="G47" i="4"/>
  <c r="H47" i="4"/>
  <c r="E48" i="4"/>
  <c r="F48" i="4"/>
  <c r="G48" i="4"/>
  <c r="H48" i="4"/>
  <c r="E49" i="4"/>
  <c r="F49" i="4"/>
  <c r="G49" i="4"/>
  <c r="H49" i="4"/>
  <c r="E50" i="4"/>
  <c r="F50" i="4"/>
  <c r="G50" i="4"/>
  <c r="H50" i="4"/>
  <c r="E51" i="4"/>
  <c r="F51" i="4"/>
  <c r="G51" i="4"/>
  <c r="H51" i="4"/>
  <c r="E52" i="4"/>
  <c r="F52" i="4"/>
  <c r="G52" i="4"/>
  <c r="H52" i="4"/>
  <c r="E53" i="4"/>
  <c r="F53" i="4"/>
  <c r="G53" i="4"/>
  <c r="H53" i="4"/>
  <c r="E54" i="4"/>
  <c r="F54" i="4"/>
  <c r="G54" i="4"/>
  <c r="H54" i="4"/>
  <c r="I3" i="4"/>
  <c r="I4" i="4"/>
  <c r="I5" i="4"/>
  <c r="I6" i="4"/>
  <c r="I7" i="4"/>
  <c r="I8" i="4"/>
  <c r="I9" i="4"/>
  <c r="I10" i="4"/>
  <c r="I12" i="4"/>
  <c r="I13" i="4"/>
  <c r="I14" i="4"/>
  <c r="I15" i="4"/>
  <c r="I16" i="4"/>
  <c r="I17" i="4"/>
  <c r="I18" i="4"/>
  <c r="I19" i="4"/>
  <c r="I20" i="4"/>
  <c r="I21" i="4"/>
  <c r="I22" i="4"/>
  <c r="I23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D22" i="7"/>
  <c r="D25" i="7"/>
  <c r="D28" i="7"/>
  <c r="D19" i="7"/>
  <c r="E4" i="6"/>
  <c r="F4" i="6"/>
  <c r="G4" i="6"/>
  <c r="H4" i="6"/>
  <c r="I4" i="6"/>
  <c r="E5" i="6"/>
  <c r="F5" i="6"/>
  <c r="G5" i="6"/>
  <c r="H5" i="6"/>
  <c r="I5" i="6"/>
  <c r="E6" i="6"/>
  <c r="F6" i="6"/>
  <c r="G6" i="6"/>
  <c r="H6" i="6"/>
  <c r="I6" i="6"/>
  <c r="E7" i="6"/>
  <c r="F7" i="6"/>
  <c r="G7" i="6"/>
  <c r="H7" i="6"/>
  <c r="I7" i="6"/>
  <c r="E8" i="6"/>
  <c r="F8" i="6"/>
  <c r="G8" i="6"/>
  <c r="H8" i="6"/>
  <c r="I8" i="6"/>
  <c r="E9" i="6"/>
  <c r="F9" i="6"/>
  <c r="G9" i="6"/>
  <c r="H9" i="6"/>
  <c r="I9" i="6"/>
  <c r="E10" i="6"/>
  <c r="F10" i="6"/>
  <c r="G10" i="6"/>
  <c r="H10" i="6"/>
  <c r="I10" i="6"/>
  <c r="E11" i="6"/>
  <c r="F11" i="6"/>
  <c r="G11" i="6"/>
  <c r="H11" i="6"/>
  <c r="I11" i="6"/>
  <c r="E12" i="6"/>
  <c r="F12" i="6"/>
  <c r="G12" i="6"/>
  <c r="H12" i="6"/>
  <c r="I12" i="6"/>
  <c r="E13" i="6"/>
  <c r="F13" i="6"/>
  <c r="G13" i="6"/>
  <c r="H13" i="6"/>
  <c r="I13" i="6"/>
  <c r="E14" i="6"/>
  <c r="F14" i="6"/>
  <c r="G14" i="6"/>
  <c r="H14" i="6"/>
  <c r="I14" i="6"/>
  <c r="E15" i="6"/>
  <c r="F15" i="6"/>
  <c r="G15" i="6"/>
  <c r="H15" i="6"/>
  <c r="I15" i="6"/>
  <c r="E16" i="6"/>
  <c r="F16" i="6"/>
  <c r="G16" i="6"/>
  <c r="H16" i="6"/>
  <c r="I16" i="6"/>
  <c r="E17" i="6"/>
  <c r="F17" i="6"/>
  <c r="G17" i="6"/>
  <c r="H17" i="6"/>
  <c r="I17" i="6"/>
  <c r="E18" i="6"/>
  <c r="F18" i="6"/>
  <c r="G18" i="6"/>
  <c r="H18" i="6"/>
  <c r="I18" i="6"/>
  <c r="E19" i="6"/>
  <c r="F19" i="6"/>
  <c r="G19" i="6"/>
  <c r="H19" i="6"/>
  <c r="I19" i="6"/>
  <c r="E20" i="6"/>
  <c r="F20" i="6"/>
  <c r="G20" i="6"/>
  <c r="H20" i="6"/>
  <c r="I20" i="6"/>
  <c r="E21" i="6"/>
  <c r="F21" i="6"/>
  <c r="G21" i="6"/>
  <c r="H21" i="6"/>
  <c r="I21" i="6"/>
  <c r="E22" i="6"/>
  <c r="F22" i="6"/>
  <c r="G22" i="6"/>
  <c r="H22" i="6"/>
  <c r="I22" i="6"/>
  <c r="E23" i="6"/>
  <c r="F23" i="6"/>
  <c r="G23" i="6"/>
  <c r="H23" i="6"/>
  <c r="I23" i="6"/>
  <c r="E24" i="6"/>
  <c r="F24" i="6"/>
  <c r="G24" i="6"/>
  <c r="H24" i="6"/>
  <c r="I24" i="6"/>
  <c r="E25" i="6"/>
  <c r="F25" i="6"/>
  <c r="G25" i="6"/>
  <c r="H25" i="6"/>
  <c r="I25" i="6"/>
  <c r="E26" i="6"/>
  <c r="F26" i="6"/>
  <c r="G26" i="6"/>
  <c r="H26" i="6"/>
  <c r="I26" i="6"/>
  <c r="E27" i="6"/>
  <c r="F27" i="6"/>
  <c r="G27" i="6"/>
  <c r="H27" i="6"/>
  <c r="I27" i="6"/>
  <c r="E28" i="6"/>
  <c r="F28" i="6"/>
  <c r="G28" i="6"/>
  <c r="H28" i="6"/>
  <c r="I28" i="6"/>
  <c r="E29" i="6"/>
  <c r="F29" i="6"/>
  <c r="G29" i="6"/>
  <c r="H29" i="6"/>
  <c r="I29" i="6"/>
  <c r="E30" i="6"/>
  <c r="F30" i="6"/>
  <c r="G30" i="6"/>
  <c r="H30" i="6"/>
  <c r="I30" i="6"/>
  <c r="E31" i="6"/>
  <c r="F31" i="6"/>
  <c r="G31" i="6"/>
  <c r="H31" i="6"/>
  <c r="I31" i="6"/>
  <c r="E32" i="6"/>
  <c r="F32" i="6"/>
  <c r="G32" i="6"/>
  <c r="H32" i="6"/>
  <c r="I32" i="6"/>
  <c r="E33" i="6"/>
  <c r="F33" i="6"/>
  <c r="G33" i="6"/>
  <c r="H33" i="6"/>
  <c r="I33" i="6"/>
  <c r="E34" i="6"/>
  <c r="F34" i="6"/>
  <c r="G34" i="6"/>
  <c r="H34" i="6"/>
  <c r="I34" i="6"/>
  <c r="E35" i="6"/>
  <c r="F35" i="6"/>
  <c r="G35" i="6"/>
  <c r="H35" i="6"/>
  <c r="I35" i="6"/>
  <c r="E36" i="6"/>
  <c r="F36" i="6"/>
  <c r="G36" i="6"/>
  <c r="H36" i="6"/>
  <c r="I36" i="6"/>
  <c r="E37" i="6"/>
  <c r="F37" i="6"/>
  <c r="G37" i="6"/>
  <c r="H37" i="6"/>
  <c r="I37" i="6"/>
  <c r="E38" i="6"/>
  <c r="F38" i="6"/>
  <c r="G38" i="6"/>
  <c r="H38" i="6"/>
  <c r="I38" i="6"/>
  <c r="E39" i="6"/>
  <c r="F39" i="6"/>
  <c r="G39" i="6"/>
  <c r="H39" i="6"/>
  <c r="I39" i="6"/>
  <c r="E40" i="6"/>
  <c r="F40" i="6"/>
  <c r="G40" i="6"/>
  <c r="H40" i="6"/>
  <c r="I40" i="6"/>
  <c r="E41" i="6"/>
  <c r="F41" i="6"/>
  <c r="G41" i="6"/>
  <c r="H41" i="6"/>
  <c r="I41" i="6"/>
  <c r="E42" i="6"/>
  <c r="F42" i="6"/>
  <c r="G42" i="6"/>
  <c r="H42" i="6"/>
  <c r="I42" i="6"/>
  <c r="E43" i="6"/>
  <c r="F43" i="6"/>
  <c r="G43" i="6"/>
  <c r="H43" i="6"/>
  <c r="I43" i="6"/>
  <c r="E44" i="6"/>
  <c r="F44" i="6"/>
  <c r="G44" i="6"/>
  <c r="H44" i="6"/>
  <c r="I44" i="6"/>
  <c r="E3" i="6"/>
  <c r="F3" i="6"/>
  <c r="G3" i="6"/>
  <c r="H3" i="6"/>
  <c r="I3" i="6"/>
  <c r="E4" i="5"/>
  <c r="F4" i="5"/>
  <c r="G4" i="5"/>
  <c r="H4" i="5"/>
  <c r="I4" i="5"/>
  <c r="E5" i="5"/>
  <c r="F5" i="5"/>
  <c r="G5" i="5"/>
  <c r="H5" i="5"/>
  <c r="I5" i="5"/>
  <c r="E6" i="5"/>
  <c r="F6" i="5"/>
  <c r="G6" i="5"/>
  <c r="H6" i="5"/>
  <c r="I6" i="5"/>
  <c r="E7" i="5"/>
  <c r="F7" i="5"/>
  <c r="G7" i="5"/>
  <c r="H7" i="5"/>
  <c r="I7" i="5"/>
  <c r="E8" i="5"/>
  <c r="F8" i="5"/>
  <c r="G8" i="5"/>
  <c r="H8" i="5"/>
  <c r="I8" i="5"/>
  <c r="E9" i="5"/>
  <c r="F9" i="5"/>
  <c r="G9" i="5"/>
  <c r="H9" i="5"/>
  <c r="I9" i="5"/>
  <c r="E10" i="5"/>
  <c r="F10" i="5"/>
  <c r="G10" i="5"/>
  <c r="H10" i="5"/>
  <c r="I10" i="5"/>
  <c r="E11" i="5"/>
  <c r="F11" i="5"/>
  <c r="G11" i="5"/>
  <c r="H11" i="5"/>
  <c r="I11" i="5"/>
  <c r="E12" i="5"/>
  <c r="F12" i="5"/>
  <c r="G12" i="5"/>
  <c r="H12" i="5"/>
  <c r="I12" i="5"/>
  <c r="E13" i="5"/>
  <c r="F13" i="5"/>
  <c r="G13" i="5"/>
  <c r="H13" i="5"/>
  <c r="I13" i="5"/>
  <c r="E14" i="5"/>
  <c r="F14" i="5"/>
  <c r="G14" i="5"/>
  <c r="H14" i="5"/>
  <c r="I14" i="5"/>
  <c r="E15" i="5"/>
  <c r="F15" i="5"/>
  <c r="G15" i="5"/>
  <c r="H15" i="5"/>
  <c r="I15" i="5"/>
  <c r="E16" i="5"/>
  <c r="F16" i="5"/>
  <c r="G16" i="5"/>
  <c r="H16" i="5"/>
  <c r="I16" i="5"/>
  <c r="E17" i="5"/>
  <c r="F17" i="5"/>
  <c r="G17" i="5"/>
  <c r="H17" i="5"/>
  <c r="I17" i="5"/>
  <c r="E18" i="5"/>
  <c r="F18" i="5"/>
  <c r="G18" i="5"/>
  <c r="H18" i="5"/>
  <c r="I18" i="5"/>
  <c r="E19" i="5"/>
  <c r="F19" i="5"/>
  <c r="G19" i="5"/>
  <c r="H19" i="5"/>
  <c r="I19" i="5"/>
  <c r="E20" i="5"/>
  <c r="F20" i="5"/>
  <c r="G20" i="5"/>
  <c r="H20" i="5"/>
  <c r="I20" i="5"/>
  <c r="E21" i="5"/>
  <c r="F21" i="5"/>
  <c r="G21" i="5"/>
  <c r="H21" i="5"/>
  <c r="I21" i="5"/>
  <c r="E22" i="5"/>
  <c r="F22" i="5"/>
  <c r="G22" i="5"/>
  <c r="H22" i="5"/>
  <c r="I22" i="5"/>
  <c r="E23" i="5"/>
  <c r="F23" i="5"/>
  <c r="G23" i="5"/>
  <c r="H23" i="5"/>
  <c r="I23" i="5"/>
  <c r="E24" i="5"/>
  <c r="F24" i="5"/>
  <c r="G24" i="5"/>
  <c r="H24" i="5"/>
  <c r="I24" i="5"/>
  <c r="E25" i="5"/>
  <c r="F25" i="5"/>
  <c r="G25" i="5"/>
  <c r="H25" i="5"/>
  <c r="I25" i="5"/>
  <c r="E26" i="5"/>
  <c r="F26" i="5"/>
  <c r="G26" i="5"/>
  <c r="H26" i="5"/>
  <c r="I26" i="5"/>
  <c r="E27" i="5"/>
  <c r="F27" i="5"/>
  <c r="G27" i="5"/>
  <c r="H27" i="5"/>
  <c r="I27" i="5"/>
  <c r="E28" i="5"/>
  <c r="F28" i="5"/>
  <c r="G28" i="5"/>
  <c r="H28" i="5"/>
  <c r="I28" i="5"/>
  <c r="E29" i="5"/>
  <c r="F29" i="5"/>
  <c r="G29" i="5"/>
  <c r="H29" i="5"/>
  <c r="I29" i="5"/>
  <c r="E30" i="5"/>
  <c r="F30" i="5"/>
  <c r="G30" i="5"/>
  <c r="H30" i="5"/>
  <c r="I30" i="5"/>
  <c r="E31" i="5"/>
  <c r="F31" i="5"/>
  <c r="G31" i="5"/>
  <c r="H31" i="5"/>
  <c r="I31" i="5"/>
  <c r="E32" i="5"/>
  <c r="F32" i="5"/>
  <c r="G32" i="5"/>
  <c r="H32" i="5"/>
  <c r="I32" i="5"/>
  <c r="E33" i="5"/>
  <c r="F33" i="5"/>
  <c r="G33" i="5"/>
  <c r="H33" i="5"/>
  <c r="I33" i="5"/>
  <c r="E34" i="5"/>
  <c r="F34" i="5"/>
  <c r="G34" i="5"/>
  <c r="H34" i="5"/>
  <c r="I34" i="5"/>
  <c r="E35" i="5"/>
  <c r="F35" i="5"/>
  <c r="G35" i="5"/>
  <c r="H35" i="5"/>
  <c r="I35" i="5"/>
  <c r="E36" i="5"/>
  <c r="F36" i="5"/>
  <c r="G36" i="5"/>
  <c r="H36" i="5"/>
  <c r="I36" i="5"/>
  <c r="E37" i="5"/>
  <c r="F37" i="5"/>
  <c r="G37" i="5"/>
  <c r="H37" i="5"/>
  <c r="I37" i="5"/>
  <c r="E38" i="5"/>
  <c r="F38" i="5"/>
  <c r="G38" i="5"/>
  <c r="H38" i="5"/>
  <c r="I38" i="5"/>
  <c r="E39" i="5"/>
  <c r="F39" i="5"/>
  <c r="G39" i="5"/>
  <c r="H39" i="5"/>
  <c r="I39" i="5"/>
  <c r="E40" i="5"/>
  <c r="F40" i="5"/>
  <c r="G40" i="5"/>
  <c r="H40" i="5"/>
  <c r="I40" i="5"/>
  <c r="E41" i="5"/>
  <c r="F41" i="5"/>
  <c r="G41" i="5"/>
  <c r="H41" i="5"/>
  <c r="I41" i="5"/>
  <c r="E42" i="5"/>
  <c r="F42" i="5"/>
  <c r="G42" i="5"/>
  <c r="H42" i="5"/>
  <c r="I42" i="5"/>
  <c r="E43" i="5"/>
  <c r="F43" i="5"/>
  <c r="G43" i="5"/>
  <c r="H43" i="5"/>
  <c r="I43" i="5"/>
  <c r="E44" i="5"/>
  <c r="F44" i="5"/>
  <c r="G44" i="5"/>
  <c r="H44" i="5"/>
  <c r="I44" i="5"/>
  <c r="E3" i="5"/>
  <c r="F3" i="5"/>
  <c r="G3" i="5"/>
  <c r="H3" i="5"/>
  <c r="I3" i="5"/>
  <c r="E3" i="4"/>
  <c r="F3" i="4"/>
  <c r="G3" i="4"/>
  <c r="H3" i="4"/>
  <c r="D26" i="8"/>
  <c r="D24" i="8"/>
  <c r="D23" i="8"/>
  <c r="D21" i="8"/>
  <c r="D19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3" i="8"/>
  <c r="D2" i="8"/>
  <c r="C33" i="7"/>
  <c r="D33" i="7" s="1"/>
  <c r="C30" i="7"/>
  <c r="D30" i="7" s="1"/>
  <c r="C29" i="7"/>
  <c r="D29" i="7" s="1"/>
  <c r="D26" i="7"/>
  <c r="C23" i="7"/>
  <c r="D23" i="7" s="1"/>
  <c r="D20" i="7"/>
  <c r="D18" i="7"/>
  <c r="D17" i="7"/>
  <c r="D16" i="7"/>
  <c r="D15" i="7"/>
  <c r="D14" i="7"/>
  <c r="D13" i="7"/>
  <c r="D12" i="7"/>
  <c r="D11" i="7"/>
  <c r="D9" i="7"/>
  <c r="D8" i="7"/>
  <c r="D7" i="7"/>
  <c r="D6" i="7"/>
  <c r="D5" i="7"/>
  <c r="D3" i="7"/>
  <c r="D2" i="7"/>
  <c r="I3" i="3"/>
  <c r="H3" i="3"/>
  <c r="G3" i="3"/>
  <c r="F3" i="3"/>
  <c r="E3" i="3"/>
</calcChain>
</file>

<file path=xl/sharedStrings.xml><?xml version="1.0" encoding="utf-8"?>
<sst xmlns="http://schemas.openxmlformats.org/spreadsheetml/2006/main" count="554" uniqueCount="66">
  <si>
    <t>The last 5 columns are for calculations, just adjusting the height based on which entities are used</t>
  </si>
  <si>
    <t>The next 5 columns tell you the eyeline of the player and the mobs</t>
  </si>
  <si>
    <t xml:space="preserve">The first 4 columns tell you what combination of entities is used. </t>
  </si>
  <si>
    <t>Height Adjustment (Rail)</t>
  </si>
  <si>
    <t>Additional information, telling you how much the ride height changes the player's position. For example, sitting in a minecart makes the player lower than if they were just standing.</t>
  </si>
  <si>
    <t>Player Eyeline (Rail)</t>
  </si>
  <si>
    <t>Player Eyeline (No Rail)</t>
  </si>
  <si>
    <t>Minecart</t>
  </si>
  <si>
    <t>Boat/Raft</t>
  </si>
  <si>
    <t>Entity</t>
  </si>
  <si>
    <t>Entity Height</t>
  </si>
  <si>
    <t>Boat</t>
  </si>
  <si>
    <t>Mule</t>
  </si>
  <si>
    <t>Skeleton Horse</t>
  </si>
  <si>
    <t>Llama</t>
  </si>
  <si>
    <t>Strider</t>
  </si>
  <si>
    <t>Double Strider</t>
  </si>
  <si>
    <t>Happy Ghast</t>
  </si>
  <si>
    <t>Combination</t>
  </si>
  <si>
    <t>Combined player height and eye height</t>
  </si>
  <si>
    <t>Combined Data</t>
  </si>
  <si>
    <t>You can directly use the sorting or filtering function of Excel to easily filter out the data you want</t>
    <phoneticPr fontId="2" type="noConversion"/>
  </si>
  <si>
    <t>Provides two data types: meters and pixels, making it easier for players to find</t>
    <phoneticPr fontId="2" type="noConversion"/>
  </si>
  <si>
    <t>"Camel sitting" is invalid when in a minecart. The player's seat position is still the effect of "camel standing". It may be a bug of moajng. This data may be useful if it is fixed in the future.</t>
    <phoneticPr fontId="2" type="noConversion"/>
  </si>
  <si>
    <t>(Only Player)</t>
    <phoneticPr fontId="2" type="noConversion"/>
  </si>
  <si>
    <t>Pig</t>
  </si>
  <si>
    <t>Donkey</t>
  </si>
  <si>
    <t>Horse</t>
  </si>
  <si>
    <t>Player Eyeline 
(No Rail)</t>
    <phoneticPr fontId="2" type="noConversion"/>
  </si>
  <si>
    <t>Player Eyeline 
(Rail)</t>
    <phoneticPr fontId="2" type="noConversion"/>
  </si>
  <si>
    <t>Height Adjustment 
(No Rail)</t>
    <phoneticPr fontId="2" type="noConversion"/>
  </si>
  <si>
    <t>Height Adjustment 
(Rail)</t>
    <phoneticPr fontId="2" type="noConversion"/>
  </si>
  <si>
    <t>No.</t>
    <phoneticPr fontId="2" type="noConversion"/>
  </si>
  <si>
    <t>This spreadsheet has a lot of DENSE information, so here is a quick guide</t>
    <phoneticPr fontId="2" type="noConversion"/>
  </si>
  <si>
    <t>Height Adjustment (No Rail)</t>
    <phoneticPr fontId="2" type="noConversion"/>
  </si>
  <si>
    <t>Mob Suffocation Height (No Rail)</t>
    <phoneticPr fontId="2" type="noConversion"/>
  </si>
  <si>
    <t>Same as above, but when on a rail (+1 pixels)</t>
    <phoneticPr fontId="2" type="noConversion"/>
  </si>
  <si>
    <r>
      <t xml:space="preserve">Use this if the vehicle </t>
    </r>
    <r>
      <rPr>
        <b/>
        <sz val="11"/>
        <color theme="1"/>
        <rFont val="等线"/>
        <family val="3"/>
        <charset val="134"/>
        <scheme val="minor"/>
      </rPr>
      <t>is</t>
    </r>
    <r>
      <rPr>
        <sz val="11"/>
        <color theme="1"/>
        <rFont val="等线"/>
        <family val="3"/>
        <charset val="134"/>
        <scheme val="minor"/>
      </rPr>
      <t xml:space="preserve"> on a rail. It will also be the eyeline's y level in relation to the ground. (+1 pixels)</t>
    </r>
    <phoneticPr fontId="2" type="noConversion"/>
  </si>
  <si>
    <r>
      <t xml:space="preserve">Use this if the vehicle </t>
    </r>
    <r>
      <rPr>
        <b/>
        <sz val="11"/>
        <color theme="1"/>
        <rFont val="等线"/>
        <family val="3"/>
        <charset val="134"/>
        <scheme val="minor"/>
      </rPr>
      <t>is not</t>
    </r>
    <r>
      <rPr>
        <sz val="11"/>
        <color theme="1"/>
        <rFont val="等线"/>
        <family val="3"/>
        <charset val="134"/>
        <scheme val="minor"/>
      </rPr>
      <t xml:space="preserve"> on a rail. The player's eyeline (where you aim) will be at this y level in relation to the ground</t>
    </r>
    <phoneticPr fontId="2" type="noConversion"/>
  </si>
  <si>
    <t>Mounts</t>
  </si>
  <si>
    <t>Player</t>
  </si>
  <si>
    <t>(Sight)</t>
  </si>
  <si>
    <t>Pig, Llama, Trader Llama, Strider</t>
  </si>
  <si>
    <t>Boat, raft</t>
  </si>
  <si>
    <t>Passenger</t>
    <phoneticPr fontId="2" type="noConversion"/>
  </si>
  <si>
    <t>(On Rail)</t>
    <phoneticPr fontId="2" type="noConversion"/>
  </si>
  <si>
    <t>Horse, Donkey, Mule, Skeleton Horse, 
Zombified Horse</t>
    <phoneticPr fontId="2" type="noConversion"/>
  </si>
  <si>
    <t>Horse</t>
    <phoneticPr fontId="2" type="noConversion"/>
  </si>
  <si>
    <t>Donkey</t>
    <phoneticPr fontId="2" type="noConversion"/>
  </si>
  <si>
    <t>Pig</t>
    <phoneticPr fontId="2" type="noConversion"/>
  </si>
  <si>
    <t>Passenger Offset
(m)</t>
    <phoneticPr fontId="2" type="noConversion"/>
  </si>
  <si>
    <t>Passenger Offset
(px)</t>
    <phoneticPr fontId="2" type="noConversion"/>
  </si>
  <si>
    <r>
      <t xml:space="preserve">Special thanks to </t>
    </r>
    <r>
      <rPr>
        <b/>
        <sz val="11"/>
        <color theme="1"/>
        <rFont val="等线"/>
        <family val="3"/>
        <charset val="134"/>
        <scheme val="minor"/>
      </rPr>
      <t>ihatefallingblocks</t>
    </r>
    <r>
      <rPr>
        <sz val="11"/>
        <color theme="1"/>
        <rFont val="等线"/>
        <family val="3"/>
        <charset val="134"/>
        <scheme val="minor"/>
      </rPr>
      <t xml:space="preserve"> for the corrections and en_us translation</t>
    </r>
    <phoneticPr fontId="2" type="noConversion"/>
  </si>
  <si>
    <t>Mob</t>
    <phoneticPr fontId="2" type="noConversion"/>
  </si>
  <si>
    <t>Mob Suffocation 
Height (No Rail)</t>
    <phoneticPr fontId="2" type="noConversion"/>
  </si>
  <si>
    <t>The mob's eyeline y level in relation to the ground. If this is within a solid block the mob will suffocate. (Rail one +1 pixels)</t>
    <phoneticPr fontId="2" type="noConversion"/>
  </si>
  <si>
    <t>Zombified Piglin</t>
    <phoneticPr fontId="2" type="noConversion"/>
  </si>
  <si>
    <t>Raft</t>
  </si>
  <si>
    <t>Skeleton Horse, Zombified Horse</t>
    <phoneticPr fontId="2" type="noConversion"/>
  </si>
  <si>
    <t>Nautilus, Zombified Nautilus</t>
    <phoneticPr fontId="2" type="noConversion"/>
  </si>
  <si>
    <t>Nautilus, Zombified Nautilus</t>
    <phoneticPr fontId="2" type="noConversion"/>
  </si>
  <si>
    <t>Camel (sitting), Camel Husk (sitting)</t>
    <phoneticPr fontId="2" type="noConversion"/>
  </si>
  <si>
    <t>Camel (standing), Camel Husk (standing)</t>
    <phoneticPr fontId="2" type="noConversion"/>
  </si>
  <si>
    <t>Camel (sitting)</t>
    <phoneticPr fontId="2" type="noConversion"/>
  </si>
  <si>
    <t>Camel (standing)</t>
    <phoneticPr fontId="2" type="noConversion"/>
  </si>
  <si>
    <t>Horse, Donkey, Mule, Skeleton Horse, 
Zombified Horse, Camel, Camel Husk, Nautilus, Zombified Nautilus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</si>
</sst>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5" x14ac:knownFonts="1">
    <font>
      <sz val="11"/>
      <color theme="1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b/>
      <sz val="11"/>
      <color rgb="FFFF0000"/>
      <name val="等线"/>
      <family val="3"/>
      <charset val="134"/>
    </font>
    <font>
      <sz val="11"/>
      <color theme="0" tint="-0.34998626667073579"/>
      <name val="等线"/>
      <family val="3"/>
      <charset val="134"/>
      <scheme val="minor"/>
    </font>
    <font>
      <b/>
      <sz val="11"/>
      <color theme="0" tint="-0.34998626667073579"/>
      <name val="等线"/>
      <family val="3"/>
      <charset val="134"/>
    </font>
    <font>
      <sz val="11"/>
      <color theme="0" tint="-0.249977111117893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</font>
    <font>
      <b/>
      <sz val="11"/>
      <color rgb="FFBFBFBF"/>
      <name val="等线"/>
      <family val="3"/>
      <charset val="134"/>
    </font>
    <font>
      <sz val="11"/>
      <color theme="1"/>
      <name val="等线"/>
      <family val="3"/>
      <charset val="134"/>
    </font>
    <font>
      <sz val="11"/>
      <color rgb="FFBFBFBF"/>
      <name val="等线"/>
      <family val="3"/>
      <charset val="134"/>
    </font>
    <font>
      <sz val="11"/>
      <color theme="0" tint="-0.34998626667073579"/>
      <name val="等线"/>
      <family val="3"/>
      <charset val="134"/>
    </font>
    <font>
      <sz val="11"/>
      <color theme="0" tint="-0.34998626667073579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9">
    <xf numFmtId="0" fontId="0" fillId="0" borderId="0" xfId="0"/>
    <xf numFmtId="0" fontId="0" fillId="0" borderId="0" xfId="0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13" fillId="0" borderId="0" xfId="0" applyFont="1" applyAlignment="1">
      <alignment horizontal="left" vertical="center"/>
    </xf>
    <xf numFmtId="0" fontId="1" fillId="0" borderId="0" xfId="1" applyFill="1"/>
    <xf numFmtId="0" fontId="3" fillId="0" borderId="0" xfId="0" applyFont="1" applyFill="1" applyAlignment="1">
      <alignment horizontal="left" vertical="center"/>
    </xf>
    <xf numFmtId="0" fontId="5" fillId="0" borderId="0" xfId="0" applyFont="1" applyFill="1" applyAlignment="1">
      <alignment horizontal="left" vertical="center"/>
    </xf>
    <xf numFmtId="0" fontId="7" fillId="0" borderId="0" xfId="1" applyFont="1" applyFill="1"/>
    <xf numFmtId="0" fontId="3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8" fillId="0" borderId="0" xfId="0" applyFont="1"/>
    <xf numFmtId="0" fontId="9" fillId="0" borderId="0" xfId="0" applyFont="1" applyAlignment="1">
      <alignment horizontal="left" vertical="center" wrapText="1"/>
    </xf>
    <xf numFmtId="0" fontId="14" fillId="0" borderId="0" xfId="0" applyFont="1" applyAlignment="1">
      <alignment horizontal="left" vertical="center"/>
    </xf>
    <xf numFmtId="0" fontId="1" fillId="0" borderId="0" xfId="1" applyFill="1"/>
    <xf numFmtId="0" fontId="4" fillId="0" borderId="0" xfId="1" applyFont="1" applyFill="1"/>
    <xf numFmtId="0" fontId="9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0" fillId="0" borderId="0" xfId="0"/>
    <xf numFmtId="0" fontId="10" fillId="0" borderId="0" xfId="0" applyFont="1" applyAlignment="1">
      <alignment horizontal="left" vertical="center"/>
    </xf>
  </cellXfs>
  <cellStyles count="2">
    <cellStyle name="常规" xfId="0" builtinId="0"/>
    <cellStyle name="常规 2" xfId="1" xr:uid="{8D6771BB-58B0-47F2-9249-E3DC5351C918}"/>
  </cellStyles>
  <dxfs count="44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1"/>
        <color theme="0" tint="-0.34998626667073579"/>
        <name val="等线"/>
        <charset val="134"/>
      </font>
    </dxf>
    <dxf>
      <font>
        <strike val="0"/>
        <outline val="0"/>
        <shadow val="0"/>
        <u val="none"/>
        <vertAlign val="baseline"/>
        <sz val="11"/>
        <color theme="0" tint="-0.34998626667073579"/>
        <name val="等线"/>
        <charset val="134"/>
      </font>
    </dxf>
    <dxf>
      <font>
        <strike val="0"/>
        <outline val="0"/>
        <shadow val="0"/>
        <u val="none"/>
        <vertAlign val="baseline"/>
        <sz val="11"/>
        <color theme="0" tint="-0.34998626667073579"/>
        <name val="等线"/>
        <charset val="134"/>
      </font>
    </dxf>
    <dxf>
      <font>
        <strike val="0"/>
        <outline val="0"/>
        <shadow val="0"/>
        <u val="none"/>
        <vertAlign val="baseline"/>
        <sz val="11"/>
        <color theme="0" tint="-0.34998626667073579"/>
        <name val="等线"/>
        <charset val="134"/>
      </font>
    </dxf>
    <dxf>
      <font>
        <strike val="0"/>
        <outline val="0"/>
        <shadow val="0"/>
        <u val="none"/>
        <vertAlign val="baseline"/>
        <sz val="11"/>
        <color theme="0" tint="-0.34998626667073579"/>
        <name val="等线"/>
        <charset val="134"/>
      </font>
    </dxf>
    <dxf>
      <font>
        <strike val="0"/>
        <outline val="0"/>
        <shadow val="0"/>
        <u val="none"/>
        <vertAlign val="baseline"/>
        <sz val="11"/>
        <color theme="0" tint="-0.34998626667073579"/>
        <name val="等线"/>
        <charset val="134"/>
      </font>
    </dxf>
    <dxf>
      <font>
        <strike val="0"/>
        <outline val="0"/>
        <shadow val="0"/>
        <u val="none"/>
        <vertAlign val="baseline"/>
        <sz val="11"/>
        <color theme="0" tint="-0.34998626667073579"/>
        <name val="等线"/>
        <charset val="134"/>
      </font>
    </dxf>
    <dxf>
      <font>
        <strike val="0"/>
        <outline val="0"/>
        <shadow val="0"/>
        <u val="none"/>
        <vertAlign val="baseline"/>
        <sz val="11"/>
        <color theme="0" tint="-0.34998626667073579"/>
        <name val="等线"/>
        <charset val="134"/>
      </font>
    </dxf>
    <dxf>
      <font>
        <strike val="0"/>
        <outline val="0"/>
        <shadow val="0"/>
        <u val="none"/>
        <vertAlign val="baseline"/>
        <sz val="11"/>
        <color theme="0" tint="-0.34998626667073579"/>
        <name val="等线"/>
        <charset val="134"/>
      </font>
    </dxf>
    <dxf>
      <font>
        <strike val="0"/>
        <outline val="0"/>
        <shadow val="0"/>
        <u val="none"/>
        <vertAlign val="baseline"/>
        <sz val="11"/>
        <color theme="0" tint="-0.34998626667073579"/>
        <name val="等线"/>
        <charset val="134"/>
      </font>
    </dxf>
    <dxf>
      <font>
        <strike val="0"/>
        <outline val="0"/>
        <shadow val="0"/>
        <u val="none"/>
        <vertAlign val="baseline"/>
        <sz val="11"/>
        <color theme="0" tint="-0.34998626667073579"/>
        <name val="等线"/>
        <charset val="134"/>
      </font>
    </dxf>
    <dxf>
      <font>
        <strike val="0"/>
        <outline val="0"/>
        <shadow val="0"/>
        <u val="none"/>
        <vertAlign val="baseline"/>
        <sz val="11"/>
        <color theme="0" tint="-0.34998626667073579"/>
        <name val="等线"/>
        <charset val="134"/>
      </font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BDD6EE"/>
          <bgColor rgb="FFBDD6EE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BDD6EE"/>
          <bgColor rgb="FFBDD6EE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BDD6EE"/>
          <bgColor rgb="FFBDD6EE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BDD6EE"/>
          <bgColor rgb="FFBDD6EE"/>
        </patternFill>
      </fill>
    </dxf>
    <dxf>
      <fill>
        <patternFill patternType="solid">
          <fgColor theme="0"/>
          <bgColor theme="0"/>
        </patternFill>
      </fill>
    </dxf>
  </dxfs>
  <tableStyles count="4" defaultTableStyle="TableStyleMedium2" defaultPivotStyle="PivotStyleLight16">
    <tableStyle name="1.20.1- Ride Heights (Blocks)-style" pivot="0" count="3" xr9:uid="{6B6993D4-97D8-4374-905A-B78CB5DF4077}">
      <tableStyleElement type="headerRow" dxfId="43"/>
      <tableStyleElement type="firstRowStripe" dxfId="42"/>
      <tableStyleElement type="secondRowStripe" dxfId="41"/>
    </tableStyle>
    <tableStyle name="1.20.1- Ride Heights (Pixels)-style" pivot="0" count="3" xr9:uid="{23CA1FE2-706B-4544-96DF-7B01569E5C90}">
      <tableStyleElement type="headerRow" dxfId="40"/>
      <tableStyleElement type="firstRowStripe" dxfId="39"/>
      <tableStyleElement type="secondRowStripe" dxfId="38"/>
    </tableStyle>
    <tableStyle name="1.20.4+ Ride Heights (Blocks)-style" pivot="0" count="3" xr9:uid="{3145A76D-594E-4BA5-A0DA-E221FF877FE9}">
      <tableStyleElement type="headerRow" dxfId="37"/>
      <tableStyleElement type="firstRowStripe" dxfId="36"/>
      <tableStyleElement type="secondRowStripe" dxfId="35"/>
    </tableStyle>
    <tableStyle name="1.20.4+ Ride Heights (Pixels)-style" pivot="0" count="3" xr9:uid="{9E18C9FD-A393-428A-94D3-53D7CFEC0D89}">
      <tableStyleElement type="headerRow" dxfId="34"/>
      <tableStyleElement type="firstRowStripe" dxfId="33"/>
      <tableStyleElement type="secondRowStripe" dxfId="3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15</xdr:row>
      <xdr:rowOff>0</xdr:rowOff>
    </xdr:from>
    <xdr:to>
      <xdr:col>15</xdr:col>
      <xdr:colOff>0</xdr:colOff>
      <xdr:row>45</xdr:row>
      <xdr:rowOff>33678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97A87510-D5B5-8207-249D-027E22F108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510118"/>
          <a:ext cx="13626353" cy="5412501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C60202F-B5CB-4843-9E8C-D6A64E6F9F8C}" name="Table_1" displayName="Table_1" ref="A2:M54" headerRowCount="0">
  <tableColumns count="13">
    <tableColumn id="1" xr3:uid="{43A4965D-964F-4F6F-8B2D-48106909BDF6}" name="Column1" dataDxfId="31"/>
    <tableColumn id="2" xr3:uid="{74165040-79F6-4CB4-B810-6D91D8D6C18B}" name="Column2"/>
    <tableColumn id="3" xr3:uid="{37488169-D7B4-42DC-8533-921E9E2BC618}" name="Column3"/>
    <tableColumn id="4" xr3:uid="{9E44E31B-E7CB-40F2-8C41-11DA02F57A1E}" name="Column4"/>
    <tableColumn id="5" xr3:uid="{8B5722CB-D228-4DE3-A680-B942C5506B11}" name="Column5"/>
    <tableColumn id="6" xr3:uid="{8956B422-A019-4516-80EE-B7AF4C53D025}" name="Column6"/>
    <tableColumn id="7" xr3:uid="{2C49505E-2274-4C46-8223-20C75AC2A02B}" name="Column7" dataDxfId="30"/>
    <tableColumn id="8" xr3:uid="{0D1694B0-4F11-451D-8C84-89ACF63B817B}" name="Column8" dataDxfId="29"/>
    <tableColumn id="9" xr3:uid="{69E0CDDB-52BC-4B21-B8B2-16FE3FAD2A93}" name="Column9"/>
    <tableColumn id="10" xr3:uid="{F8093E3D-0A92-4DEB-9441-B3771647CE13}" name="Column10"/>
    <tableColumn id="11" xr3:uid="{910EFB3D-463E-4CDC-B50A-BFB97D760EEE}" name="Column11"/>
    <tableColumn id="12" xr3:uid="{309A645B-738D-421B-9B28-A92017F6027F}" name="Column12"/>
    <tableColumn id="13" xr3:uid="{C82B9C55-31F8-4FB7-A6C8-068D735F20BA}" name="Column13"/>
  </tableColumns>
  <tableStyleInfo name="1.20.4+ Ride Heights (Pixels)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8A014BC-A953-42EC-9BFB-B461200B26B0}" name="Table_2" displayName="Table_2" ref="A2:M54" headerRowCount="0">
  <tableColumns count="13">
    <tableColumn id="1" xr3:uid="{1CA0DA67-F94A-43E1-BCA3-D7F632B74587}" name="Column1" dataDxfId="28"/>
    <tableColumn id="2" xr3:uid="{763C036C-C024-4E4C-9513-AD2008749CA8}" name="Column2"/>
    <tableColumn id="3" xr3:uid="{C647D1CD-C22D-403D-BF9C-CC428F2B8256}" name="Column3"/>
    <tableColumn id="4" xr3:uid="{8D3380B5-0057-433A-B3B3-F53E930425BE}" name="Column4"/>
    <tableColumn id="5" xr3:uid="{8282F153-6EB7-447B-84CA-A12A18CA77B3}" name="Column5"/>
    <tableColumn id="6" xr3:uid="{482524FE-2C41-4706-A7A3-8F55FD6B11AD}" name="Column6"/>
    <tableColumn id="7" xr3:uid="{EBF2FA6C-4580-4D94-8582-7AC44644BB60}" name="Column7" dataDxfId="27"/>
    <tableColumn id="8" xr3:uid="{78EE47DC-6096-448A-940E-9A8F3779C718}" name="Column8" dataDxfId="26"/>
    <tableColumn id="9" xr3:uid="{FBD1976E-2770-4F4C-BD9D-DABD7C583434}" name="Column9"/>
    <tableColumn id="10" xr3:uid="{C8B7FDA1-B688-453E-8A09-B143AF0E213F}" name="Column10"/>
    <tableColumn id="11" xr3:uid="{7A8EF823-E3D6-4C22-8C08-8028D0758DFF}" name="Column11"/>
    <tableColumn id="12" xr3:uid="{68ABC458-E103-4696-9B07-4808719F9B9B}" name="Column12"/>
    <tableColumn id="13" xr3:uid="{B10C85A5-2830-4F32-8BDD-65834A24EAA1}" name="Column13"/>
  </tableColumns>
  <tableStyleInfo name="1.20.4+ Ride Heights (Blocks)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18357A1-B815-4327-BAC4-93523134B59F}" name="Table_3" displayName="Table_3" ref="A2:M44" headerRowCount="0">
  <tableColumns count="13">
    <tableColumn id="1" xr3:uid="{65E816FD-9BCD-4052-86A1-2B8969136BAD}" name="Column1" dataDxfId="25"/>
    <tableColumn id="2" xr3:uid="{CBFCAE0C-510C-465A-962B-E6A9DDD15473}" name="Column2"/>
    <tableColumn id="3" xr3:uid="{ECF82FBD-A549-4FB0-9013-36795A2A2063}" name="Column3"/>
    <tableColumn id="4" xr3:uid="{4E9C2AC3-1B7F-4F71-B129-A0478752A3E3}" name="Column4"/>
    <tableColumn id="5" xr3:uid="{3B3DFFDC-2C89-443C-9179-6023BE3077A7}" name="Column5"/>
    <tableColumn id="6" xr3:uid="{490089BE-DE5E-451E-8617-EB9097686394}" name="Column6"/>
    <tableColumn id="7" xr3:uid="{7CD2796E-6933-44B4-8998-DE7EADB06A1B}" name="Column7" dataDxfId="24"/>
    <tableColumn id="8" xr3:uid="{F8678D43-A843-4793-9A37-662814D1713E}" name="Column8" dataDxfId="23"/>
    <tableColumn id="9" xr3:uid="{F260767C-2B45-477E-9127-8140279F5A2E}" name="Column9"/>
    <tableColumn id="10" xr3:uid="{CED8B961-0A9C-496A-9ECB-B6737E596E3C}" name="Column10"/>
    <tableColumn id="11" xr3:uid="{30CDF02E-5FC9-431F-93EB-1CF60222DCE6}" name="Column11"/>
    <tableColumn id="12" xr3:uid="{DF70B6D9-B8DF-4778-B27F-ADF770DE59FB}" name="Column12"/>
    <tableColumn id="13" xr3:uid="{2BF9AA95-C981-4827-8552-10ADD91D9011}" name="Column13"/>
  </tableColumns>
  <tableStyleInfo name="1.20.1- Ride Heights (Pixels)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C3890EB-5A24-4C82-BEB4-56DD4CA1D911}" name="Table_4" displayName="Table_4" ref="A2:M44" headerRowCount="0">
  <tableColumns count="13">
    <tableColumn id="1" xr3:uid="{499B55EC-BE26-4DBE-9E14-4AEA804928B3}" name="Column1" dataDxfId="22"/>
    <tableColumn id="2" xr3:uid="{8D954217-2113-494A-B225-4743F81EF2BE}" name="Column2"/>
    <tableColumn id="3" xr3:uid="{CB56D995-8059-489A-A0EA-8C09C6E69CB6}" name="Column3"/>
    <tableColumn id="4" xr3:uid="{68A5F15D-EFA6-4543-8D98-9FDCFCE1C266}" name="Column4"/>
    <tableColumn id="5" xr3:uid="{B30F920E-8773-48CF-B9BD-7A83A845DB34}" name="Column5"/>
    <tableColumn id="6" xr3:uid="{1485DC6D-9CBF-40A3-AD9E-13EE3D77D9D8}" name="Column6"/>
    <tableColumn id="7" xr3:uid="{D266E206-2814-494C-A8A6-59682599953F}" name="Column7" dataDxfId="21"/>
    <tableColumn id="8" xr3:uid="{1BA576A9-2D13-4267-A988-7E033EBCA1FC}" name="Column8" dataDxfId="20"/>
    <tableColumn id="9" xr3:uid="{7ABF83CB-9163-4F50-AC4C-02355A0DF110}" name="Column9"/>
    <tableColumn id="10" xr3:uid="{6BD73AD2-4529-441C-8CA1-8D60F36C5434}" name="Column10"/>
    <tableColumn id="11" xr3:uid="{A9352EF2-1D5B-409B-A8D5-328F7CB288E9}" name="Column11"/>
    <tableColumn id="12" xr3:uid="{CD4B16B7-D9C2-44D3-8F2D-4745E5EF9A28}" name="Column12"/>
    <tableColumn id="13" xr3:uid="{7A5B8813-ED56-414A-850D-47064F000C22}" name="Column13"/>
  </tableColumns>
  <tableStyleInfo name="1.20.1- Ride Heights (Blocks)-style" showFirstColumn="1" showLastColumn="1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7EF95-BB15-4541-9119-ED3269422282}">
  <sheetPr>
    <outlinePr summaryBelow="0" summaryRight="0"/>
  </sheetPr>
  <dimension ref="A2:M15"/>
  <sheetViews>
    <sheetView zoomScale="85" zoomScaleNormal="85" workbookViewId="0"/>
  </sheetViews>
  <sheetFormatPr defaultColWidth="10.58203125" defaultRowHeight="14" x14ac:dyDescent="0.3"/>
  <cols>
    <col min="1" max="1" width="10.58203125" style="13"/>
    <col min="2" max="2" width="30.58203125" style="13" customWidth="1"/>
    <col min="3" max="16384" width="10.58203125" style="13"/>
  </cols>
  <sheetData>
    <row r="2" spans="1:13" x14ac:dyDescent="0.3">
      <c r="B2" s="13" t="s">
        <v>52</v>
      </c>
    </row>
    <row r="3" spans="1:13" x14ac:dyDescent="0.3">
      <c r="B3" s="13" t="s">
        <v>33</v>
      </c>
    </row>
    <row r="5" spans="1:13" x14ac:dyDescent="0.3">
      <c r="B5" s="14" t="s">
        <v>6</v>
      </c>
      <c r="C5" s="23" t="s">
        <v>38</v>
      </c>
      <c r="D5" s="23"/>
      <c r="E5" s="23"/>
      <c r="F5" s="23"/>
      <c r="G5" s="23"/>
      <c r="H5" s="23"/>
      <c r="I5" s="23"/>
      <c r="J5" s="23"/>
      <c r="K5" s="23"/>
      <c r="L5" s="23"/>
      <c r="M5" s="23"/>
    </row>
    <row r="6" spans="1:13" x14ac:dyDescent="0.3">
      <c r="B6" s="14" t="s">
        <v>5</v>
      </c>
      <c r="C6" s="23" t="s">
        <v>37</v>
      </c>
      <c r="D6" s="23"/>
      <c r="E6" s="23"/>
      <c r="F6" s="23"/>
      <c r="G6" s="23"/>
      <c r="H6" s="23"/>
      <c r="I6" s="23"/>
      <c r="J6" s="23"/>
      <c r="K6" s="23"/>
      <c r="L6" s="23"/>
      <c r="M6" s="23"/>
    </row>
    <row r="7" spans="1:13" x14ac:dyDescent="0.3">
      <c r="B7" s="15" t="s">
        <v>34</v>
      </c>
      <c r="C7" s="24" t="s">
        <v>4</v>
      </c>
      <c r="D7" s="24"/>
      <c r="E7" s="24"/>
      <c r="F7" s="24"/>
      <c r="G7" s="24"/>
      <c r="H7" s="24"/>
      <c r="I7" s="24"/>
      <c r="J7" s="24"/>
      <c r="K7" s="24"/>
      <c r="L7" s="24"/>
      <c r="M7" s="24"/>
    </row>
    <row r="8" spans="1:13" x14ac:dyDescent="0.3">
      <c r="B8" s="15" t="s">
        <v>3</v>
      </c>
      <c r="C8" s="24" t="s">
        <v>36</v>
      </c>
      <c r="D8" s="24"/>
      <c r="E8" s="24"/>
      <c r="F8" s="24"/>
      <c r="G8" s="24"/>
      <c r="H8" s="24"/>
      <c r="I8" s="24"/>
      <c r="J8" s="24"/>
      <c r="K8" s="24"/>
      <c r="L8" s="24"/>
      <c r="M8" s="24"/>
    </row>
    <row r="9" spans="1:13" x14ac:dyDescent="0.3">
      <c r="B9" s="14" t="s">
        <v>35</v>
      </c>
      <c r="C9" s="23" t="s">
        <v>55</v>
      </c>
      <c r="D9" s="23"/>
      <c r="E9" s="23"/>
      <c r="F9" s="23"/>
      <c r="G9" s="23"/>
      <c r="H9" s="23"/>
      <c r="I9" s="23"/>
      <c r="J9" s="23"/>
      <c r="K9" s="23"/>
      <c r="L9" s="23"/>
      <c r="M9" s="23"/>
    </row>
    <row r="11" spans="1:13" x14ac:dyDescent="0.3">
      <c r="B11" s="13" t="s">
        <v>21</v>
      </c>
    </row>
    <row r="12" spans="1:13" x14ac:dyDescent="0.3">
      <c r="B12" s="13" t="s">
        <v>22</v>
      </c>
    </row>
    <row r="13" spans="1:13" x14ac:dyDescent="0.3">
      <c r="B13" s="13" t="s">
        <v>23</v>
      </c>
    </row>
    <row r="15" spans="1:13" x14ac:dyDescent="0.3">
      <c r="A15" s="16" t="s">
        <v>2</v>
      </c>
      <c r="F15" s="16" t="s">
        <v>1</v>
      </c>
      <c r="L15" s="16" t="s">
        <v>0</v>
      </c>
    </row>
  </sheetData>
  <mergeCells count="5">
    <mergeCell ref="C5:M5"/>
    <mergeCell ref="C6:M6"/>
    <mergeCell ref="C7:M7"/>
    <mergeCell ref="C8:M8"/>
    <mergeCell ref="C9:M9"/>
  </mergeCells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6207E-1334-4633-A049-242B47862D3D}">
  <dimension ref="A1:O55"/>
  <sheetViews>
    <sheetView zoomScaleNormal="100" workbookViewId="0">
      <pane ySplit="2" topLeftCell="A6" activePane="bottomLeft" state="frozen"/>
      <selection pane="bottomLeft" sqref="A1:D1"/>
    </sheetView>
  </sheetViews>
  <sheetFormatPr defaultColWidth="10.58203125" defaultRowHeight="14" x14ac:dyDescent="0.3"/>
  <cols>
    <col min="1" max="1" width="10.58203125" style="3" customWidth="1"/>
    <col min="2" max="4" width="15.58203125" style="1" customWidth="1"/>
    <col min="5" max="6" width="15.58203125" customWidth="1"/>
    <col min="7" max="8" width="15.58203125" style="3" customWidth="1"/>
    <col min="9" max="9" width="15.58203125" style="1" customWidth="1"/>
    <col min="10" max="12" width="10.58203125" style="1" customWidth="1"/>
    <col min="13" max="13" width="10.58203125" style="2" customWidth="1"/>
    <col min="14" max="15" width="10.58203125" style="2"/>
    <col min="16" max="16384" width="10.58203125" style="1"/>
  </cols>
  <sheetData>
    <row r="1" spans="1:15" x14ac:dyDescent="0.3">
      <c r="A1" s="25" t="s">
        <v>18</v>
      </c>
      <c r="B1" s="25"/>
      <c r="C1" s="25"/>
      <c r="D1" s="25"/>
      <c r="E1" s="26" t="s">
        <v>19</v>
      </c>
      <c r="F1" s="27"/>
      <c r="G1" s="27"/>
      <c r="H1" s="27"/>
      <c r="I1" s="11"/>
      <c r="J1" s="28" t="s">
        <v>20</v>
      </c>
      <c r="K1" s="27"/>
      <c r="L1" s="27"/>
      <c r="M1" s="27"/>
      <c r="N1" s="1"/>
      <c r="O1" s="1"/>
    </row>
    <row r="2" spans="1:15" s="5" customFormat="1" ht="42" x14ac:dyDescent="0.3">
      <c r="A2" s="18" t="s">
        <v>32</v>
      </c>
      <c r="B2" s="6" t="s">
        <v>7</v>
      </c>
      <c r="C2" s="6" t="s">
        <v>8</v>
      </c>
      <c r="D2" s="10" t="s">
        <v>53</v>
      </c>
      <c r="E2" s="17" t="s">
        <v>28</v>
      </c>
      <c r="F2" s="17" t="s">
        <v>29</v>
      </c>
      <c r="G2" s="18" t="s">
        <v>30</v>
      </c>
      <c r="H2" s="18" t="s">
        <v>31</v>
      </c>
      <c r="I2" s="17" t="s">
        <v>54</v>
      </c>
      <c r="J2" s="7" t="s">
        <v>7</v>
      </c>
      <c r="K2" s="7" t="s">
        <v>8</v>
      </c>
      <c r="L2" s="7" t="s">
        <v>9</v>
      </c>
      <c r="M2" s="7" t="s">
        <v>10</v>
      </c>
    </row>
    <row r="3" spans="1:15" x14ac:dyDescent="0.3">
      <c r="A3" s="12">
        <v>0</v>
      </c>
      <c r="B3" s="8"/>
      <c r="C3" s="8"/>
      <c r="D3" s="8" t="s">
        <v>24</v>
      </c>
      <c r="E3" s="8" t="str">
        <f t="shared" ref="E3" si="0">INT(SUM(J3:L3)+1.62)&amp;"m "&amp;((SUM(J3:L3)+1.62)-INT(SUM(J3:L3)+1.62))*16&amp;"px"</f>
        <v>1m 9.92px</v>
      </c>
      <c r="F3" s="8" t="str">
        <f t="shared" ref="F3" si="1">INT(SUM(J3:L3)+0.0625+1.62)&amp;"m "&amp;((SUM(J3:L3)+0.0625+1.62)-INT(SUM(J3:L3)+0.0625+1.62))*16&amp;"px"</f>
        <v>1m 10.92px</v>
      </c>
      <c r="G3" s="12" t="str">
        <f t="shared" ref="G3" si="2">INT(SUM(J3:L3))&amp;"m "&amp;((SUM(J3:L3))-INT(SUM(J3:L3)))*16&amp;"px"</f>
        <v>0m 0px</v>
      </c>
      <c r="H3" s="12" t="str">
        <f t="shared" ref="H3" si="3">INT(SUM(J3:L3)+0.0625)&amp;"m "&amp;((SUM(J3:L3)+0.0625)-INT(SUM(J3:L3)+0.0625))*16&amp;"px"</f>
        <v>0m 1px</v>
      </c>
      <c r="I3" s="8" t="str">
        <f t="shared" ref="I3" si="4">INT(SUM(J3:K3)+M3)&amp;"m "&amp;((SUM(J3:K3)+M3)-INT(SUM(J3:K3)+M3))*16&amp;"px"</f>
        <v>1m 9.92px</v>
      </c>
      <c r="J3" s="9"/>
      <c r="K3" s="9"/>
      <c r="L3" s="9"/>
      <c r="M3" s="9">
        <v>1.62</v>
      </c>
      <c r="N3" s="1"/>
      <c r="O3" s="1"/>
    </row>
    <row r="4" spans="1:15" x14ac:dyDescent="0.3">
      <c r="A4" s="12">
        <v>1</v>
      </c>
      <c r="B4" s="8" t="s">
        <v>7</v>
      </c>
      <c r="C4" s="8"/>
      <c r="D4" s="8" t="s">
        <v>24</v>
      </c>
      <c r="E4" s="8" t="str">
        <f t="shared" ref="E4:E54" si="5">INT(SUM(J4:L4)+1.62)&amp;"m "&amp;((SUM(J4:L4)+1.62)-INT(SUM(J4:L4)+1.62))*16&amp;"px"</f>
        <v>1m 3.32px</v>
      </c>
      <c r="F4" s="8" t="str">
        <f t="shared" ref="F4:F54" si="6">INT(SUM(J4:L4)+0.0625+1.62)&amp;"m "&amp;((SUM(J4:L4)+0.0625+1.62)-INT(SUM(J4:L4)+0.0625+1.62))*16&amp;"px"</f>
        <v>1m 4.32px</v>
      </c>
      <c r="G4" s="12" t="str">
        <f t="shared" ref="G4:G54" si="7">INT(SUM(J4:L4))&amp;"m "&amp;((SUM(J4:L4))-INT(SUM(J4:L4)))*16&amp;"px"</f>
        <v>-1m 9.4px</v>
      </c>
      <c r="H4" s="12" t="str">
        <f t="shared" ref="H4:H54" si="8">INT(SUM(J4:L4)+0.0625)&amp;"m "&amp;((SUM(J4:L4)+0.0625)-INT(SUM(J4:L4)+0.0625))*16&amp;"px"</f>
        <v>-1m 10.4px</v>
      </c>
      <c r="I4" s="8" t="str">
        <f t="shared" ref="I4:I54" si="9">INT(SUM(J4:K4)+M4)&amp;"m "&amp;((SUM(J4:K4)+M4)-INT(SUM(J4:K4)+M4))*16&amp;"px"</f>
        <v>1m 3.32px</v>
      </c>
      <c r="J4" s="9">
        <v>-0.41249999999999998</v>
      </c>
      <c r="K4" s="9"/>
      <c r="L4" s="9"/>
      <c r="M4" s="9">
        <v>1.62</v>
      </c>
      <c r="N4" s="1"/>
      <c r="O4" s="1"/>
    </row>
    <row r="5" spans="1:15" x14ac:dyDescent="0.3">
      <c r="A5" s="12">
        <v>2</v>
      </c>
      <c r="B5" s="8"/>
      <c r="C5" s="8" t="s">
        <v>11</v>
      </c>
      <c r="D5" s="8" t="s">
        <v>24</v>
      </c>
      <c r="E5" s="8" t="str">
        <f t="shared" si="5"/>
        <v>1m 3.32px</v>
      </c>
      <c r="F5" s="8" t="str">
        <f t="shared" si="6"/>
        <v>1m 4.32px</v>
      </c>
      <c r="G5" s="12" t="str">
        <f t="shared" si="7"/>
        <v>-1m 9.4px</v>
      </c>
      <c r="H5" s="12" t="str">
        <f t="shared" si="8"/>
        <v>-1m 10.4px</v>
      </c>
      <c r="I5" s="8" t="str">
        <f t="shared" si="9"/>
        <v>1m 3.32px</v>
      </c>
      <c r="J5" s="9"/>
      <c r="K5" s="9">
        <v>-0.41249999999999998</v>
      </c>
      <c r="L5" s="9"/>
      <c r="M5" s="9">
        <v>1.62</v>
      </c>
      <c r="N5" s="1"/>
      <c r="O5" s="1"/>
    </row>
    <row r="6" spans="1:15" x14ac:dyDescent="0.3">
      <c r="A6" s="12">
        <v>3</v>
      </c>
      <c r="B6" s="8"/>
      <c r="C6" s="8" t="s">
        <v>57</v>
      </c>
      <c r="D6" s="8" t="s">
        <v>24</v>
      </c>
      <c r="E6" s="8" t="str">
        <f t="shared" si="5"/>
        <v>1m 8.32px</v>
      </c>
      <c r="F6" s="8" t="str">
        <f t="shared" si="6"/>
        <v>1m 9.32px</v>
      </c>
      <c r="G6" s="12" t="str">
        <f t="shared" si="7"/>
        <v>-1m 14.4px</v>
      </c>
      <c r="H6" s="12" t="str">
        <f t="shared" si="8"/>
        <v>-1m 15.4px</v>
      </c>
      <c r="I6" s="8" t="str">
        <f t="shared" si="9"/>
        <v>1m 8.32px</v>
      </c>
      <c r="J6" s="9"/>
      <c r="K6" s="9">
        <v>-0.1</v>
      </c>
      <c r="L6" s="9"/>
      <c r="M6" s="9">
        <v>1.62</v>
      </c>
      <c r="N6" s="1"/>
      <c r="O6" s="1"/>
    </row>
    <row r="7" spans="1:15" x14ac:dyDescent="0.3">
      <c r="A7" s="12">
        <v>4</v>
      </c>
      <c r="B7" s="8" t="s">
        <v>7</v>
      </c>
      <c r="C7" s="8" t="s">
        <v>11</v>
      </c>
      <c r="D7" s="8" t="s">
        <v>24</v>
      </c>
      <c r="E7" s="8" t="str">
        <f t="shared" si="5"/>
        <v>1m 6.32px</v>
      </c>
      <c r="F7" s="8" t="str">
        <f t="shared" si="6"/>
        <v>1m 7.32px</v>
      </c>
      <c r="G7" s="12" t="str">
        <f t="shared" si="7"/>
        <v>-1m 12.4px</v>
      </c>
      <c r="H7" s="12" t="str">
        <f t="shared" si="8"/>
        <v>-1m 13.4px</v>
      </c>
      <c r="I7" s="8" t="str">
        <f t="shared" si="9"/>
        <v>1m 6.32px</v>
      </c>
      <c r="J7" s="9">
        <v>0.1875</v>
      </c>
      <c r="K7" s="9">
        <v>-0.41249999999999998</v>
      </c>
      <c r="L7" s="9"/>
      <c r="M7" s="9">
        <v>1.62</v>
      </c>
      <c r="N7" s="1"/>
      <c r="O7" s="1"/>
    </row>
    <row r="8" spans="1:15" x14ac:dyDescent="0.3">
      <c r="A8" s="12">
        <v>5</v>
      </c>
      <c r="B8" s="8" t="s">
        <v>7</v>
      </c>
      <c r="C8" s="8" t="s">
        <v>57</v>
      </c>
      <c r="D8" s="8" t="s">
        <v>24</v>
      </c>
      <c r="E8" s="8" t="str">
        <f t="shared" si="5"/>
        <v>1m 11.32px</v>
      </c>
      <c r="F8" s="8" t="str">
        <f t="shared" si="6"/>
        <v>1m 12.32px</v>
      </c>
      <c r="G8" s="12" t="str">
        <f t="shared" si="7"/>
        <v>0m 1.4px</v>
      </c>
      <c r="H8" s="12" t="str">
        <f t="shared" si="8"/>
        <v>0m 2.4px</v>
      </c>
      <c r="I8" s="8" t="str">
        <f t="shared" si="9"/>
        <v>1m 11.32px</v>
      </c>
      <c r="J8" s="9">
        <v>0.1875</v>
      </c>
      <c r="K8" s="9">
        <v>-0.1</v>
      </c>
      <c r="L8" s="9"/>
      <c r="M8" s="9">
        <v>1.62</v>
      </c>
      <c r="N8" s="1"/>
      <c r="O8" s="1"/>
    </row>
    <row r="9" spans="1:15" x14ac:dyDescent="0.3">
      <c r="A9" s="12">
        <v>6</v>
      </c>
      <c r="B9" s="8"/>
      <c r="C9" s="8"/>
      <c r="D9" s="8" t="s">
        <v>25</v>
      </c>
      <c r="E9" s="8" t="str">
        <f t="shared" si="5"/>
        <v>1m 14.22px</v>
      </c>
      <c r="F9" s="8" t="str">
        <f t="shared" si="6"/>
        <v>1m 15.22px</v>
      </c>
      <c r="G9" s="12" t="str">
        <f t="shared" si="7"/>
        <v>0m 4.3px</v>
      </c>
      <c r="H9" s="12" t="str">
        <f t="shared" si="8"/>
        <v>0m 5.3px</v>
      </c>
      <c r="I9" s="8" t="str">
        <f t="shared" si="9"/>
        <v>0m 12.24px</v>
      </c>
      <c r="J9" s="9"/>
      <c r="K9" s="9"/>
      <c r="L9" s="9">
        <v>0.26874999999999999</v>
      </c>
      <c r="M9" s="9">
        <v>0.76500000000000001</v>
      </c>
      <c r="N9" s="1"/>
      <c r="O9" s="1"/>
    </row>
    <row r="10" spans="1:15" x14ac:dyDescent="0.3">
      <c r="A10" s="12">
        <v>7</v>
      </c>
      <c r="B10" s="8"/>
      <c r="C10" s="8"/>
      <c r="D10" s="8" t="s">
        <v>26</v>
      </c>
      <c r="E10" s="8" t="str">
        <f t="shared" si="5"/>
        <v>2m 2.12px</v>
      </c>
      <c r="F10" s="8" t="str">
        <f t="shared" si="6"/>
        <v>2m 3.12px</v>
      </c>
      <c r="G10" s="12" t="str">
        <f t="shared" si="7"/>
        <v>0m 8.2px</v>
      </c>
      <c r="H10" s="12" t="str">
        <f t="shared" si="8"/>
        <v>0m 9.2px</v>
      </c>
      <c r="I10" s="8" t="str">
        <f t="shared" si="9"/>
        <v>1m 6.8px</v>
      </c>
      <c r="J10" s="9"/>
      <c r="K10" s="9"/>
      <c r="L10" s="9">
        <v>0.51249999999999996</v>
      </c>
      <c r="M10" s="9">
        <v>1.425</v>
      </c>
      <c r="N10" s="1"/>
      <c r="O10" s="1"/>
    </row>
    <row r="11" spans="1:15" x14ac:dyDescent="0.3">
      <c r="A11" s="12">
        <v>8</v>
      </c>
      <c r="D11" s="4" t="s">
        <v>60</v>
      </c>
      <c r="E11" s="1" t="str">
        <f>INT(SUM(J11:L11)+1.62)&amp;"m "&amp;((SUM(J11:L11)+1.62)-INT(SUM(J11:L11)+1.62))*16&amp;"px"</f>
        <v>2m 2.52px</v>
      </c>
      <c r="F11" s="1" t="str">
        <f>INT(SUM(J11:L11)+0.0625+1.62)&amp;"m "&amp;((SUM(J11:L11)+0.0625+1.62)-INT(SUM(J11:L11)+0.0625+1.62))*16&amp;"px"</f>
        <v>2m 3.52px</v>
      </c>
      <c r="G11" s="22" t="str">
        <f>INT(SUM(J11:L11))&amp;"m "&amp;((SUM(J11:L11))-INT(SUM(J11:L11)))*16&amp;"px"</f>
        <v>0m 8.6px</v>
      </c>
      <c r="H11" s="22" t="str">
        <f>INT(SUM(J11:L11)+0.0625)&amp;"m "&amp;((SUM(J11:L11)+0.0625)-INT(SUM(J11:L11)+0.0625))*16&amp;"px"</f>
        <v>0m 9.6px</v>
      </c>
      <c r="I11" s="4" t="str">
        <f>INT(SUM(J11:K11)+M11)&amp;"m "&amp;((SUM(J11:K11)+M11)-INT(SUM(J11:K11)+M11))*16&amp;"px"</f>
        <v>0m 4.4016px</v>
      </c>
      <c r="J11" s="9"/>
      <c r="K11" s="9"/>
      <c r="L11" s="9">
        <v>0.53749999999999998</v>
      </c>
      <c r="M11" s="9">
        <v>0.27510000000000001</v>
      </c>
      <c r="N11" s="1"/>
      <c r="O11" s="1"/>
    </row>
    <row r="12" spans="1:15" x14ac:dyDescent="0.3">
      <c r="A12" s="12">
        <v>9</v>
      </c>
      <c r="B12" s="8"/>
      <c r="C12" s="8"/>
      <c r="D12" s="8" t="s">
        <v>12</v>
      </c>
      <c r="E12" s="8" t="str">
        <f t="shared" si="5"/>
        <v>2m 3.72px</v>
      </c>
      <c r="F12" s="8" t="str">
        <f t="shared" si="6"/>
        <v>2m 4.72px</v>
      </c>
      <c r="G12" s="12" t="str">
        <f t="shared" si="7"/>
        <v>0m 9.8px</v>
      </c>
      <c r="H12" s="12" t="str">
        <f t="shared" si="8"/>
        <v>0m 10.8px</v>
      </c>
      <c r="I12" s="8" t="str">
        <f t="shared" si="9"/>
        <v>1m 8.32px</v>
      </c>
      <c r="J12" s="9"/>
      <c r="K12" s="9"/>
      <c r="L12" s="9">
        <v>0.61250000000000004</v>
      </c>
      <c r="M12" s="9">
        <v>1.52</v>
      </c>
      <c r="N12" s="1"/>
      <c r="O12" s="1"/>
    </row>
    <row r="13" spans="1:15" x14ac:dyDescent="0.3">
      <c r="A13" s="12">
        <v>10</v>
      </c>
      <c r="B13" s="8"/>
      <c r="C13" s="8"/>
      <c r="D13" s="8" t="s">
        <v>13</v>
      </c>
      <c r="E13" s="8" t="str">
        <f t="shared" si="5"/>
        <v>2m 5.42px</v>
      </c>
      <c r="F13" s="8" t="str">
        <f t="shared" si="6"/>
        <v>2m 6.42px</v>
      </c>
      <c r="G13" s="12" t="str">
        <f t="shared" si="7"/>
        <v>0m 11.5px</v>
      </c>
      <c r="H13" s="12" t="str">
        <f t="shared" si="8"/>
        <v>0m 12.5px</v>
      </c>
      <c r="I13" s="8" t="str">
        <f t="shared" si="9"/>
        <v>1m 8.32px</v>
      </c>
      <c r="J13" s="9"/>
      <c r="K13" s="9"/>
      <c r="L13" s="9">
        <v>0.71875</v>
      </c>
      <c r="M13" s="9">
        <v>1.52</v>
      </c>
      <c r="N13" s="1"/>
      <c r="O13" s="1"/>
    </row>
    <row r="14" spans="1:15" x14ac:dyDescent="0.3">
      <c r="A14" s="12">
        <v>11</v>
      </c>
      <c r="B14" s="8"/>
      <c r="C14" s="8"/>
      <c r="D14" s="8" t="s">
        <v>14</v>
      </c>
      <c r="E14" s="8" t="str">
        <f t="shared" si="5"/>
        <v>2m 6.24px</v>
      </c>
      <c r="F14" s="8" t="str">
        <f t="shared" si="6"/>
        <v>2m 7.24px</v>
      </c>
      <c r="G14" s="12" t="str">
        <f t="shared" si="7"/>
        <v>0m 12.32px</v>
      </c>
      <c r="H14" s="12" t="str">
        <f t="shared" si="8"/>
        <v>0m 13.32px</v>
      </c>
      <c r="I14" s="8" t="str">
        <f t="shared" si="9"/>
        <v>1m 12.424px</v>
      </c>
      <c r="J14" s="9"/>
      <c r="K14" s="9"/>
      <c r="L14" s="9">
        <v>0.77</v>
      </c>
      <c r="M14" s="9">
        <v>1.7765</v>
      </c>
      <c r="N14" s="1"/>
      <c r="O14" s="1"/>
    </row>
    <row r="15" spans="1:15" x14ac:dyDescent="0.3">
      <c r="A15" s="12">
        <v>12</v>
      </c>
      <c r="B15" s="8"/>
      <c r="C15" s="8"/>
      <c r="D15" s="8" t="s">
        <v>27</v>
      </c>
      <c r="E15" s="8" t="str">
        <f t="shared" si="5"/>
        <v>2m 7.42px</v>
      </c>
      <c r="F15" s="8" t="str">
        <f t="shared" si="6"/>
        <v>2m 8.42px</v>
      </c>
      <c r="G15" s="12" t="str">
        <f t="shared" si="7"/>
        <v>0m 13.5px</v>
      </c>
      <c r="H15" s="12" t="str">
        <f t="shared" si="8"/>
        <v>0m 14.5px</v>
      </c>
      <c r="I15" s="8" t="str">
        <f t="shared" si="9"/>
        <v>1m 8.32px</v>
      </c>
      <c r="J15" s="9"/>
      <c r="K15" s="9"/>
      <c r="L15" s="9">
        <v>0.84375</v>
      </c>
      <c r="M15" s="9">
        <v>1.52</v>
      </c>
      <c r="N15" s="1"/>
      <c r="O15" s="1"/>
    </row>
    <row r="16" spans="1:15" x14ac:dyDescent="0.3">
      <c r="A16" s="12">
        <v>13</v>
      </c>
      <c r="B16" s="8"/>
      <c r="C16" s="8"/>
      <c r="D16" s="8" t="s">
        <v>15</v>
      </c>
      <c r="E16" s="8" t="str">
        <f t="shared" si="5"/>
        <v>2m 11.52px</v>
      </c>
      <c r="F16" s="8" t="str">
        <f t="shared" si="6"/>
        <v>2m 12.52px</v>
      </c>
      <c r="G16" s="12" t="str">
        <f t="shared" si="7"/>
        <v>1m 1.6px</v>
      </c>
      <c r="H16" s="12" t="str">
        <f t="shared" si="8"/>
        <v>1m 2.6px</v>
      </c>
      <c r="I16" s="8" t="str">
        <f t="shared" si="9"/>
        <v>1m 7.12px</v>
      </c>
      <c r="J16" s="9"/>
      <c r="K16" s="9"/>
      <c r="L16" s="9">
        <v>1.1000000000000001</v>
      </c>
      <c r="M16" s="9">
        <v>1.4450000000000001</v>
      </c>
      <c r="N16" s="1"/>
      <c r="O16" s="1"/>
    </row>
    <row r="17" spans="1:15" x14ac:dyDescent="0.3">
      <c r="A17" s="12">
        <v>14</v>
      </c>
      <c r="B17" s="8"/>
      <c r="C17" s="8"/>
      <c r="D17" s="8" t="s">
        <v>16</v>
      </c>
      <c r="E17" s="8" t="str">
        <f t="shared" si="5"/>
        <v>4m 6.72px</v>
      </c>
      <c r="F17" s="8" t="str">
        <f t="shared" si="6"/>
        <v>4m 7.72px</v>
      </c>
      <c r="G17" s="12" t="str">
        <f t="shared" si="7"/>
        <v>2m 12.8px</v>
      </c>
      <c r="H17" s="12" t="str">
        <f t="shared" si="8"/>
        <v>2m 13.8px</v>
      </c>
      <c r="I17" s="8" t="str">
        <f t="shared" si="9"/>
        <v>1m 7.12px</v>
      </c>
      <c r="J17" s="9"/>
      <c r="K17" s="9"/>
      <c r="L17" s="9">
        <v>2.8</v>
      </c>
      <c r="M17" s="9">
        <v>1.4450000000000001</v>
      </c>
      <c r="N17" s="1"/>
      <c r="O17" s="1"/>
    </row>
    <row r="18" spans="1:15" x14ac:dyDescent="0.3">
      <c r="A18" s="12">
        <v>15</v>
      </c>
      <c r="B18" s="8"/>
      <c r="C18" s="8"/>
      <c r="D18" s="8" t="s">
        <v>61</v>
      </c>
      <c r="E18" s="8" t="str">
        <f t="shared" si="5"/>
        <v>1m 12.64px</v>
      </c>
      <c r="F18" s="8" t="str">
        <f t="shared" si="6"/>
        <v>1m 13.64px</v>
      </c>
      <c r="G18" s="12" t="str">
        <f t="shared" si="7"/>
        <v>0m 2.72px</v>
      </c>
      <c r="H18" s="12" t="str">
        <f t="shared" si="8"/>
        <v>0m 3.72px</v>
      </c>
      <c r="I18" s="8" t="str">
        <f t="shared" si="9"/>
        <v>1m 0.719999999999999px</v>
      </c>
      <c r="J18" s="9"/>
      <c r="K18" s="9"/>
      <c r="L18" s="9">
        <v>0.17</v>
      </c>
      <c r="M18" s="9">
        <v>1.0449999999999999</v>
      </c>
      <c r="N18" s="1"/>
      <c r="O18" s="1"/>
    </row>
    <row r="19" spans="1:15" x14ac:dyDescent="0.3">
      <c r="A19" s="12">
        <v>16</v>
      </c>
      <c r="B19" s="8"/>
      <c r="C19" s="8"/>
      <c r="D19" s="8" t="s">
        <v>62</v>
      </c>
      <c r="E19" s="8" t="str">
        <f t="shared" si="5"/>
        <v>3m 0.32px</v>
      </c>
      <c r="F19" s="8" t="str">
        <f t="shared" si="6"/>
        <v>3m 1.32px</v>
      </c>
      <c r="G19" s="12" t="str">
        <f t="shared" si="7"/>
        <v>1m 6.4px</v>
      </c>
      <c r="H19" s="12" t="str">
        <f t="shared" si="8"/>
        <v>1m 7.4px</v>
      </c>
      <c r="I19" s="8" t="str">
        <f t="shared" si="9"/>
        <v>2m 4.4px</v>
      </c>
      <c r="J19" s="9"/>
      <c r="K19" s="9"/>
      <c r="L19" s="9">
        <v>1.4</v>
      </c>
      <c r="M19" s="9">
        <v>2.2749999999999999</v>
      </c>
      <c r="N19" s="1"/>
      <c r="O19" s="1"/>
    </row>
    <row r="20" spans="1:15" x14ac:dyDescent="0.3">
      <c r="A20" s="12">
        <v>17</v>
      </c>
      <c r="B20" s="8"/>
      <c r="C20" s="8"/>
      <c r="D20" s="8" t="s">
        <v>56</v>
      </c>
      <c r="E20" s="8" t="str">
        <f t="shared" si="5"/>
        <v>3m 0.32px</v>
      </c>
      <c r="F20" s="8" t="str">
        <f t="shared" si="6"/>
        <v>3m 1.32px</v>
      </c>
      <c r="G20" s="12" t="str">
        <f t="shared" si="7"/>
        <v>1m 6.4px</v>
      </c>
      <c r="H20" s="12" t="str">
        <f t="shared" si="8"/>
        <v>1m 7.4px</v>
      </c>
      <c r="I20" s="8" t="str">
        <f t="shared" si="9"/>
        <v>1m 12.64px</v>
      </c>
      <c r="J20" s="9"/>
      <c r="K20" s="9"/>
      <c r="L20" s="9">
        <v>1.4</v>
      </c>
      <c r="M20" s="9">
        <v>1.79</v>
      </c>
      <c r="N20" s="1"/>
      <c r="O20" s="1"/>
    </row>
    <row r="21" spans="1:15" x14ac:dyDescent="0.3">
      <c r="A21" s="12">
        <v>18</v>
      </c>
      <c r="B21" s="8"/>
      <c r="C21" s="8"/>
      <c r="D21" s="8" t="s">
        <v>17</v>
      </c>
      <c r="E21" s="8" t="str">
        <f t="shared" si="5"/>
        <v>5m 0.319999999999993px</v>
      </c>
      <c r="F21" s="8" t="str">
        <f t="shared" si="6"/>
        <v>5m 1.31999999999999px</v>
      </c>
      <c r="G21" s="12" t="str">
        <f t="shared" si="7"/>
        <v>3m 6.4px</v>
      </c>
      <c r="H21" s="12" t="str">
        <f t="shared" si="8"/>
        <v>3m 7.4px</v>
      </c>
      <c r="I21" s="8" t="str">
        <f t="shared" si="9"/>
        <v>2m 9.6px</v>
      </c>
      <c r="J21" s="9"/>
      <c r="K21" s="9"/>
      <c r="L21" s="9">
        <v>3.4</v>
      </c>
      <c r="M21" s="9">
        <v>2.6</v>
      </c>
      <c r="N21" s="1"/>
      <c r="O21" s="1"/>
    </row>
    <row r="22" spans="1:15" x14ac:dyDescent="0.3">
      <c r="A22" s="12">
        <v>19</v>
      </c>
      <c r="B22" s="8" t="s">
        <v>7</v>
      </c>
      <c r="C22" s="8"/>
      <c r="D22" s="8" t="s">
        <v>25</v>
      </c>
      <c r="E22" s="8" t="str">
        <f t="shared" si="5"/>
        <v>2m 1.22px</v>
      </c>
      <c r="F22" s="8" t="str">
        <f t="shared" si="6"/>
        <v>2m 2.22px</v>
      </c>
      <c r="G22" s="12" t="str">
        <f t="shared" si="7"/>
        <v>0m 7.3px</v>
      </c>
      <c r="H22" s="12" t="str">
        <f t="shared" si="8"/>
        <v>0m 8.3px</v>
      </c>
      <c r="I22" s="8" t="str">
        <f t="shared" si="9"/>
        <v>0m 15.24px</v>
      </c>
      <c r="J22" s="9">
        <v>0.1875</v>
      </c>
      <c r="K22" s="9"/>
      <c r="L22" s="9">
        <v>0.26874999999999999</v>
      </c>
      <c r="M22" s="9">
        <v>0.76500000000000001</v>
      </c>
      <c r="N22" s="1"/>
      <c r="O22" s="1"/>
    </row>
    <row r="23" spans="1:15" x14ac:dyDescent="0.3">
      <c r="A23" s="12">
        <v>20</v>
      </c>
      <c r="B23" s="8" t="s">
        <v>7</v>
      </c>
      <c r="C23" s="8"/>
      <c r="D23" s="8" t="s">
        <v>26</v>
      </c>
      <c r="E23" s="8" t="str">
        <f t="shared" si="5"/>
        <v>2m 5.12px</v>
      </c>
      <c r="F23" s="8" t="str">
        <f t="shared" si="6"/>
        <v>2m 6.12px</v>
      </c>
      <c r="G23" s="12" t="str">
        <f t="shared" si="7"/>
        <v>0m 11.2px</v>
      </c>
      <c r="H23" s="12" t="str">
        <f t="shared" si="8"/>
        <v>0m 12.2px</v>
      </c>
      <c r="I23" s="8" t="str">
        <f t="shared" si="9"/>
        <v>1m 9.8px</v>
      </c>
      <c r="J23" s="9">
        <v>0.1875</v>
      </c>
      <c r="K23" s="9"/>
      <c r="L23" s="9">
        <v>0.51249999999999996</v>
      </c>
      <c r="M23" s="9">
        <v>1.425</v>
      </c>
      <c r="N23" s="1"/>
      <c r="O23" s="1"/>
    </row>
    <row r="24" spans="1:15" x14ac:dyDescent="0.3">
      <c r="A24" s="12">
        <v>21</v>
      </c>
      <c r="B24" s="8" t="s">
        <v>7</v>
      </c>
      <c r="D24" s="4" t="s">
        <v>59</v>
      </c>
      <c r="E24" s="1" t="str">
        <f t="shared" ref="E24" si="10">INT(SUM(J24:L24)+1.62)&amp;"m "&amp;((SUM(J24:L24)+1.62)-INT(SUM(J24:L24)+1.62))*16&amp;"px"</f>
        <v>2m 5.52px</v>
      </c>
      <c r="F24" s="1" t="str">
        <f t="shared" si="6"/>
        <v>2m 6.52px</v>
      </c>
      <c r="G24" s="22" t="str">
        <f t="shared" si="7"/>
        <v>0m 11.6px</v>
      </c>
      <c r="H24" s="22" t="str">
        <f t="shared" si="8"/>
        <v>0m 12.6px</v>
      </c>
      <c r="I24" s="4" t="str">
        <f t="shared" si="9"/>
        <v>0m 7.4016px</v>
      </c>
      <c r="J24" s="9">
        <v>0.1875</v>
      </c>
      <c r="K24" s="9"/>
      <c r="L24" s="9">
        <v>0.53749999999999998</v>
      </c>
      <c r="M24" s="9">
        <v>0.27510000000000001</v>
      </c>
      <c r="N24" s="1"/>
      <c r="O24" s="1"/>
    </row>
    <row r="25" spans="1:15" x14ac:dyDescent="0.3">
      <c r="A25" s="12">
        <v>22</v>
      </c>
      <c r="B25" s="8" t="s">
        <v>7</v>
      </c>
      <c r="C25" s="8"/>
      <c r="D25" s="8" t="s">
        <v>12</v>
      </c>
      <c r="E25" s="8" t="str">
        <f t="shared" si="5"/>
        <v>2m 6.72px</v>
      </c>
      <c r="F25" s="8" t="str">
        <f t="shared" si="6"/>
        <v>2m 7.72px</v>
      </c>
      <c r="G25" s="12" t="str">
        <f t="shared" si="7"/>
        <v>0m 12.8px</v>
      </c>
      <c r="H25" s="12" t="str">
        <f t="shared" si="8"/>
        <v>0m 13.8px</v>
      </c>
      <c r="I25" s="8" t="str">
        <f t="shared" si="9"/>
        <v>1m 11.32px</v>
      </c>
      <c r="J25" s="9">
        <v>0.1875</v>
      </c>
      <c r="K25" s="9"/>
      <c r="L25" s="9">
        <v>0.61250000000000004</v>
      </c>
      <c r="M25" s="9">
        <v>1.52</v>
      </c>
      <c r="N25" s="1"/>
      <c r="O25" s="1"/>
    </row>
    <row r="26" spans="1:15" x14ac:dyDescent="0.3">
      <c r="A26" s="12">
        <v>23</v>
      </c>
      <c r="B26" s="8" t="s">
        <v>7</v>
      </c>
      <c r="C26" s="8"/>
      <c r="D26" s="8" t="s">
        <v>13</v>
      </c>
      <c r="E26" s="8" t="str">
        <f t="shared" si="5"/>
        <v>2m 8.42px</v>
      </c>
      <c r="F26" s="8" t="str">
        <f t="shared" si="6"/>
        <v>2m 9.42px</v>
      </c>
      <c r="G26" s="12" t="str">
        <f t="shared" si="7"/>
        <v>0m 14.5px</v>
      </c>
      <c r="H26" s="12" t="str">
        <f t="shared" si="8"/>
        <v>0m 15.5px</v>
      </c>
      <c r="I26" s="8" t="str">
        <f t="shared" si="9"/>
        <v>1m 11.32px</v>
      </c>
      <c r="J26" s="9">
        <v>0.1875</v>
      </c>
      <c r="K26" s="9"/>
      <c r="L26" s="9">
        <v>0.71875</v>
      </c>
      <c r="M26" s="9">
        <v>1.52</v>
      </c>
      <c r="N26" s="1"/>
      <c r="O26" s="1"/>
    </row>
    <row r="27" spans="1:15" x14ac:dyDescent="0.3">
      <c r="A27" s="12">
        <v>24</v>
      </c>
      <c r="B27" s="8" t="s">
        <v>7</v>
      </c>
      <c r="C27" s="8"/>
      <c r="D27" s="8" t="s">
        <v>14</v>
      </c>
      <c r="E27" s="8" t="str">
        <f t="shared" si="5"/>
        <v>2m 9.24px</v>
      </c>
      <c r="F27" s="8" t="str">
        <f t="shared" si="6"/>
        <v>2m 10.24px</v>
      </c>
      <c r="G27" s="12" t="str">
        <f t="shared" si="7"/>
        <v>0m 15.32px</v>
      </c>
      <c r="H27" s="12" t="str">
        <f t="shared" si="8"/>
        <v>1m 0.32px</v>
      </c>
      <c r="I27" s="8" t="str">
        <f t="shared" si="9"/>
        <v>1m 15.424px</v>
      </c>
      <c r="J27" s="9">
        <v>0.1875</v>
      </c>
      <c r="K27" s="9"/>
      <c r="L27" s="9">
        <v>0.77</v>
      </c>
      <c r="M27" s="9">
        <v>1.7765</v>
      </c>
      <c r="N27" s="1"/>
      <c r="O27" s="1"/>
    </row>
    <row r="28" spans="1:15" x14ac:dyDescent="0.3">
      <c r="A28" s="12">
        <v>25</v>
      </c>
      <c r="B28" s="8" t="s">
        <v>7</v>
      </c>
      <c r="C28" s="8"/>
      <c r="D28" s="8" t="s">
        <v>27</v>
      </c>
      <c r="E28" s="8" t="str">
        <f t="shared" si="5"/>
        <v>2m 10.42px</v>
      </c>
      <c r="F28" s="8" t="str">
        <f t="shared" si="6"/>
        <v>2m 11.42px</v>
      </c>
      <c r="G28" s="12" t="str">
        <f t="shared" si="7"/>
        <v>1m 0.5px</v>
      </c>
      <c r="H28" s="12" t="str">
        <f t="shared" si="8"/>
        <v>1m 1.5px</v>
      </c>
      <c r="I28" s="8" t="str">
        <f t="shared" si="9"/>
        <v>1m 11.32px</v>
      </c>
      <c r="J28" s="9">
        <v>0.1875</v>
      </c>
      <c r="K28" s="9"/>
      <c r="L28" s="9">
        <v>0.84375</v>
      </c>
      <c r="M28" s="9">
        <v>1.52</v>
      </c>
      <c r="N28" s="1"/>
      <c r="O28" s="1"/>
    </row>
    <row r="29" spans="1:15" x14ac:dyDescent="0.3">
      <c r="A29" s="12">
        <v>26</v>
      </c>
      <c r="B29" s="8" t="s">
        <v>7</v>
      </c>
      <c r="C29" s="8"/>
      <c r="D29" s="8" t="s">
        <v>15</v>
      </c>
      <c r="E29" s="8" t="str">
        <f t="shared" si="5"/>
        <v>2m 14.52px</v>
      </c>
      <c r="F29" s="8" t="str">
        <f t="shared" si="6"/>
        <v>2m 15.52px</v>
      </c>
      <c r="G29" s="12" t="str">
        <f t="shared" si="7"/>
        <v>1m 4.6px</v>
      </c>
      <c r="H29" s="12" t="str">
        <f t="shared" si="8"/>
        <v>1m 5.6px</v>
      </c>
      <c r="I29" s="8" t="str">
        <f t="shared" si="9"/>
        <v>1m 10.12px</v>
      </c>
      <c r="J29" s="9">
        <v>0.1875</v>
      </c>
      <c r="K29" s="9"/>
      <c r="L29" s="9">
        <v>1.1000000000000001</v>
      </c>
      <c r="M29" s="9">
        <v>1.4450000000000001</v>
      </c>
      <c r="N29" s="1"/>
      <c r="O29" s="1"/>
    </row>
    <row r="30" spans="1:15" x14ac:dyDescent="0.3">
      <c r="A30" s="12">
        <v>27</v>
      </c>
      <c r="B30" s="8" t="s">
        <v>7</v>
      </c>
      <c r="C30" s="8"/>
      <c r="D30" s="8" t="s">
        <v>16</v>
      </c>
      <c r="E30" s="8" t="str">
        <f t="shared" si="5"/>
        <v>4m 9.72px</v>
      </c>
      <c r="F30" s="8" t="str">
        <f t="shared" si="6"/>
        <v>4m 10.72px</v>
      </c>
      <c r="G30" s="12" t="str">
        <f t="shared" si="7"/>
        <v>2m 15.8px</v>
      </c>
      <c r="H30" s="12" t="str">
        <f t="shared" si="8"/>
        <v>3m 0.799999999999997px</v>
      </c>
      <c r="I30" s="8" t="str">
        <f t="shared" si="9"/>
        <v>1m 10.12px</v>
      </c>
      <c r="J30" s="9">
        <v>0.1875</v>
      </c>
      <c r="K30" s="9"/>
      <c r="L30" s="9">
        <v>2.8</v>
      </c>
      <c r="M30" s="9">
        <v>1.4450000000000001</v>
      </c>
      <c r="N30" s="1"/>
      <c r="O30" s="1"/>
    </row>
    <row r="31" spans="1:15" x14ac:dyDescent="0.3">
      <c r="A31" s="12">
        <v>28</v>
      </c>
      <c r="B31" s="8" t="s">
        <v>7</v>
      </c>
      <c r="C31" s="8"/>
      <c r="D31" s="8" t="s">
        <v>61</v>
      </c>
      <c r="E31" s="8" t="str">
        <f t="shared" si="5"/>
        <v>1m 15.64px</v>
      </c>
      <c r="F31" s="8" t="str">
        <f t="shared" si="6"/>
        <v>2m 0.640000000000001px</v>
      </c>
      <c r="G31" s="12" t="str">
        <f t="shared" si="7"/>
        <v>0m 5.72px</v>
      </c>
      <c r="H31" s="12" t="str">
        <f t="shared" si="8"/>
        <v>0m 6.72px</v>
      </c>
      <c r="I31" s="8" t="str">
        <f t="shared" si="9"/>
        <v>1m 3.72px</v>
      </c>
      <c r="J31" s="9">
        <v>0.1875</v>
      </c>
      <c r="K31" s="9"/>
      <c r="L31" s="9">
        <v>0.17</v>
      </c>
      <c r="M31" s="9">
        <v>1.0449999999999999</v>
      </c>
      <c r="N31" s="1"/>
      <c r="O31" s="1"/>
    </row>
    <row r="32" spans="1:15" x14ac:dyDescent="0.3">
      <c r="A32" s="12">
        <v>29</v>
      </c>
      <c r="B32" s="8" t="s">
        <v>7</v>
      </c>
      <c r="C32" s="8"/>
      <c r="D32" s="8" t="s">
        <v>62</v>
      </c>
      <c r="E32" s="8" t="str">
        <f t="shared" si="5"/>
        <v>3m 3.32px</v>
      </c>
      <c r="F32" s="8" t="str">
        <f t="shared" si="6"/>
        <v>3m 4.32px</v>
      </c>
      <c r="G32" s="12" t="str">
        <f t="shared" si="7"/>
        <v>1m 9.4px</v>
      </c>
      <c r="H32" s="12" t="str">
        <f t="shared" si="8"/>
        <v>1m 10.4px</v>
      </c>
      <c r="I32" s="8" t="str">
        <f t="shared" si="9"/>
        <v>2m 7.4px</v>
      </c>
      <c r="J32" s="9">
        <v>0.1875</v>
      </c>
      <c r="K32" s="9"/>
      <c r="L32" s="9">
        <v>1.4</v>
      </c>
      <c r="M32" s="9">
        <v>2.2749999999999999</v>
      </c>
      <c r="N32" s="1"/>
      <c r="O32" s="1"/>
    </row>
    <row r="33" spans="1:15" x14ac:dyDescent="0.3">
      <c r="A33" s="12">
        <v>30</v>
      </c>
      <c r="B33" s="8" t="s">
        <v>7</v>
      </c>
      <c r="C33" s="8"/>
      <c r="D33" s="8" t="s">
        <v>56</v>
      </c>
      <c r="E33" s="8" t="str">
        <f t="shared" si="5"/>
        <v>2m 9.12px</v>
      </c>
      <c r="F33" s="8" t="str">
        <f t="shared" si="6"/>
        <v>2m 10.12px</v>
      </c>
      <c r="G33" s="12" t="str">
        <f t="shared" si="7"/>
        <v>0m 15.2px</v>
      </c>
      <c r="H33" s="12" t="str">
        <f t="shared" si="8"/>
        <v>1m 0.199999999999999px</v>
      </c>
      <c r="I33" s="8" t="str">
        <f t="shared" si="9"/>
        <v>1m 5.44px</v>
      </c>
      <c r="J33" s="9">
        <v>-0.45</v>
      </c>
      <c r="K33" s="9"/>
      <c r="L33" s="9">
        <v>1.4</v>
      </c>
      <c r="M33" s="9">
        <v>1.79</v>
      </c>
      <c r="N33" s="1"/>
      <c r="O33" s="1"/>
    </row>
    <row r="34" spans="1:15" x14ac:dyDescent="0.3">
      <c r="A34" s="12">
        <v>31</v>
      </c>
      <c r="B34" s="8" t="s">
        <v>7</v>
      </c>
      <c r="C34" s="8"/>
      <c r="D34" s="8" t="s">
        <v>17</v>
      </c>
      <c r="E34" s="8" t="str">
        <f t="shared" si="5"/>
        <v>5m 11.32px</v>
      </c>
      <c r="F34" s="8" t="str">
        <f t="shared" si="6"/>
        <v>5m 12.32px</v>
      </c>
      <c r="G34" s="12" t="str">
        <f t="shared" si="7"/>
        <v>4m 1.40000000000001px</v>
      </c>
      <c r="H34" s="12" t="str">
        <f t="shared" si="8"/>
        <v>4m 2.40000000000001px</v>
      </c>
      <c r="I34" s="8" t="str">
        <f t="shared" si="9"/>
        <v>3m 4.6px</v>
      </c>
      <c r="J34" s="9">
        <v>0.6875</v>
      </c>
      <c r="K34" s="9"/>
      <c r="L34" s="9">
        <v>3.4</v>
      </c>
      <c r="M34" s="9">
        <v>2.6</v>
      </c>
      <c r="N34" s="1"/>
      <c r="O34" s="1"/>
    </row>
    <row r="35" spans="1:15" x14ac:dyDescent="0.3">
      <c r="A35" s="12">
        <v>32</v>
      </c>
      <c r="B35" s="8"/>
      <c r="C35" s="8" t="s">
        <v>11</v>
      </c>
      <c r="D35" s="8" t="s">
        <v>25</v>
      </c>
      <c r="E35" s="8" t="str">
        <f t="shared" si="5"/>
        <v>2m 1.22px</v>
      </c>
      <c r="F35" s="8" t="str">
        <f t="shared" si="6"/>
        <v>2m 2.22px</v>
      </c>
      <c r="G35" s="12" t="str">
        <f t="shared" si="7"/>
        <v>0m 7.3px</v>
      </c>
      <c r="H35" s="12" t="str">
        <f t="shared" si="8"/>
        <v>0m 8.3px</v>
      </c>
      <c r="I35" s="8" t="str">
        <f t="shared" si="9"/>
        <v>0m 15.24px</v>
      </c>
      <c r="J35" s="9"/>
      <c r="K35" s="9">
        <v>0.1875</v>
      </c>
      <c r="L35" s="9">
        <v>0.26874999999999999</v>
      </c>
      <c r="M35" s="9">
        <v>0.76500000000000001</v>
      </c>
      <c r="N35" s="1"/>
      <c r="O35" s="1"/>
    </row>
    <row r="36" spans="1:15" x14ac:dyDescent="0.3">
      <c r="A36" s="12">
        <v>33</v>
      </c>
      <c r="B36" s="8"/>
      <c r="C36" s="8" t="s">
        <v>11</v>
      </c>
      <c r="D36" s="8" t="s">
        <v>14</v>
      </c>
      <c r="E36" s="8" t="str">
        <f t="shared" si="5"/>
        <v>2m 9.24px</v>
      </c>
      <c r="F36" s="8" t="str">
        <f t="shared" si="6"/>
        <v>2m 10.24px</v>
      </c>
      <c r="G36" s="12" t="str">
        <f t="shared" si="7"/>
        <v>0m 15.32px</v>
      </c>
      <c r="H36" s="12" t="str">
        <f t="shared" si="8"/>
        <v>1m 0.32px</v>
      </c>
      <c r="I36" s="8" t="str">
        <f t="shared" si="9"/>
        <v>1m 15.424px</v>
      </c>
      <c r="J36" s="9"/>
      <c r="K36" s="9">
        <v>0.1875</v>
      </c>
      <c r="L36" s="9">
        <v>0.77</v>
      </c>
      <c r="M36" s="9">
        <v>1.7765</v>
      </c>
      <c r="N36" s="1"/>
      <c r="O36" s="1"/>
    </row>
    <row r="37" spans="1:15" x14ac:dyDescent="0.3">
      <c r="A37" s="12">
        <v>34</v>
      </c>
      <c r="B37" s="8"/>
      <c r="C37" s="8" t="s">
        <v>11</v>
      </c>
      <c r="D37" s="8" t="s">
        <v>56</v>
      </c>
      <c r="E37" s="8" t="str">
        <f t="shared" si="5"/>
        <v>2m 8.12px</v>
      </c>
      <c r="F37" s="8" t="str">
        <f t="shared" si="6"/>
        <v>2m 9.12px</v>
      </c>
      <c r="G37" s="12" t="str">
        <f t="shared" si="7"/>
        <v>0m 14.2px</v>
      </c>
      <c r="H37" s="12" t="str">
        <f t="shared" si="8"/>
        <v>0m 15.2px</v>
      </c>
      <c r="I37" s="8" t="str">
        <f t="shared" si="9"/>
        <v>1m 4.44px</v>
      </c>
      <c r="J37" s="9"/>
      <c r="K37" s="9">
        <v>-0.51249999999999996</v>
      </c>
      <c r="L37" s="9">
        <v>1.4</v>
      </c>
      <c r="M37" s="9">
        <v>1.79</v>
      </c>
      <c r="N37" s="1"/>
      <c r="O37" s="1"/>
    </row>
    <row r="38" spans="1:15" x14ac:dyDescent="0.3">
      <c r="A38" s="12">
        <v>35</v>
      </c>
      <c r="B38" s="8"/>
      <c r="C38" s="8" t="s">
        <v>11</v>
      </c>
      <c r="D38" s="8" t="s">
        <v>15</v>
      </c>
      <c r="E38" s="8" t="str">
        <f t="shared" si="5"/>
        <v>2m 14.52px</v>
      </c>
      <c r="F38" s="8" t="str">
        <f t="shared" si="6"/>
        <v>2m 15.52px</v>
      </c>
      <c r="G38" s="12" t="str">
        <f t="shared" si="7"/>
        <v>1m 4.6px</v>
      </c>
      <c r="H38" s="12" t="str">
        <f t="shared" si="8"/>
        <v>1m 5.6px</v>
      </c>
      <c r="I38" s="8" t="str">
        <f t="shared" si="9"/>
        <v>1m 10.12px</v>
      </c>
      <c r="J38" s="9"/>
      <c r="K38" s="9">
        <v>0.1875</v>
      </c>
      <c r="L38" s="9">
        <v>1.1000000000000001</v>
      </c>
      <c r="M38" s="9">
        <v>1.4450000000000001</v>
      </c>
      <c r="N38" s="1"/>
      <c r="O38" s="1"/>
    </row>
    <row r="39" spans="1:15" x14ac:dyDescent="0.3">
      <c r="A39" s="12">
        <v>36</v>
      </c>
      <c r="B39" s="8"/>
      <c r="C39" s="8" t="s">
        <v>11</v>
      </c>
      <c r="D39" s="8" t="s">
        <v>16</v>
      </c>
      <c r="E39" s="8" t="str">
        <f t="shared" si="5"/>
        <v>4m 9.72px</v>
      </c>
      <c r="F39" s="8" t="str">
        <f t="shared" si="6"/>
        <v>4m 10.72px</v>
      </c>
      <c r="G39" s="12" t="str">
        <f t="shared" si="7"/>
        <v>2m 15.8px</v>
      </c>
      <c r="H39" s="12" t="str">
        <f t="shared" si="8"/>
        <v>3m 0.799999999999997px</v>
      </c>
      <c r="I39" s="8" t="str">
        <f t="shared" si="9"/>
        <v>1m 10.12px</v>
      </c>
      <c r="J39" s="9"/>
      <c r="K39" s="9">
        <v>0.1875</v>
      </c>
      <c r="L39" s="9">
        <v>2.8</v>
      </c>
      <c r="M39" s="9">
        <v>1.4450000000000001</v>
      </c>
      <c r="N39" s="1"/>
      <c r="O39" s="1"/>
    </row>
    <row r="40" spans="1:15" x14ac:dyDescent="0.3">
      <c r="A40" s="12">
        <v>37</v>
      </c>
      <c r="B40" s="8"/>
      <c r="C40" s="8" t="s">
        <v>57</v>
      </c>
      <c r="D40" s="8" t="s">
        <v>25</v>
      </c>
      <c r="E40" s="8" t="str">
        <f t="shared" si="5"/>
        <v>2m 6.22px</v>
      </c>
      <c r="F40" s="8" t="str">
        <f t="shared" si="6"/>
        <v>2m 7.22px</v>
      </c>
      <c r="G40" s="12" t="str">
        <f t="shared" si="7"/>
        <v>0m 12.3px</v>
      </c>
      <c r="H40" s="12" t="str">
        <f t="shared" si="8"/>
        <v>0m 13.3px</v>
      </c>
      <c r="I40" s="8" t="str">
        <f t="shared" si="9"/>
        <v>1m 4.24px</v>
      </c>
      <c r="J40" s="9"/>
      <c r="K40" s="9">
        <v>0.5</v>
      </c>
      <c r="L40" s="9">
        <v>0.26874999999999999</v>
      </c>
      <c r="M40" s="9">
        <v>0.76500000000000001</v>
      </c>
      <c r="N40" s="1"/>
      <c r="O40" s="1"/>
    </row>
    <row r="41" spans="1:15" x14ac:dyDescent="0.3">
      <c r="A41" s="12">
        <v>38</v>
      </c>
      <c r="B41" s="8"/>
      <c r="C41" s="8" t="s">
        <v>57</v>
      </c>
      <c r="D41" s="8" t="s">
        <v>14</v>
      </c>
      <c r="E41" s="8" t="str">
        <f t="shared" si="5"/>
        <v>2m 14.24px</v>
      </c>
      <c r="F41" s="8" t="str">
        <f t="shared" si="6"/>
        <v>2m 15.24px</v>
      </c>
      <c r="G41" s="12" t="str">
        <f t="shared" si="7"/>
        <v>1m 4.32px</v>
      </c>
      <c r="H41" s="12" t="str">
        <f t="shared" si="8"/>
        <v>1m 5.32px</v>
      </c>
      <c r="I41" s="8" t="str">
        <f t="shared" si="9"/>
        <v>2m 4.424px</v>
      </c>
      <c r="J41" s="9"/>
      <c r="K41" s="9">
        <v>0.5</v>
      </c>
      <c r="L41" s="9">
        <v>0.77</v>
      </c>
      <c r="M41" s="9">
        <v>1.7765</v>
      </c>
      <c r="N41" s="1"/>
      <c r="O41" s="1"/>
    </row>
    <row r="42" spans="1:15" x14ac:dyDescent="0.3">
      <c r="A42" s="12">
        <v>39</v>
      </c>
      <c r="B42" s="8"/>
      <c r="C42" s="8" t="s">
        <v>57</v>
      </c>
      <c r="D42" s="8" t="s">
        <v>56</v>
      </c>
      <c r="E42" s="8" t="str">
        <f t="shared" si="5"/>
        <v>2m 13.12px</v>
      </c>
      <c r="F42" s="8" t="str">
        <f t="shared" si="6"/>
        <v>2m 14.12px</v>
      </c>
      <c r="G42" s="12" t="str">
        <f t="shared" si="7"/>
        <v>1m 3.2px</v>
      </c>
      <c r="H42" s="12" t="str">
        <f t="shared" si="8"/>
        <v>1m 4.2px</v>
      </c>
      <c r="I42" s="8" t="str">
        <f t="shared" si="9"/>
        <v>1m 9.44px</v>
      </c>
      <c r="J42" s="9"/>
      <c r="K42" s="9">
        <v>-0.2</v>
      </c>
      <c r="L42" s="9">
        <v>1.4</v>
      </c>
      <c r="M42" s="9">
        <v>1.79</v>
      </c>
      <c r="N42" s="1"/>
      <c r="O42" s="1"/>
    </row>
    <row r="43" spans="1:15" x14ac:dyDescent="0.3">
      <c r="A43" s="12">
        <v>40</v>
      </c>
      <c r="B43" s="8"/>
      <c r="C43" s="8" t="s">
        <v>57</v>
      </c>
      <c r="D43" s="8" t="s">
        <v>15</v>
      </c>
      <c r="E43" s="8" t="str">
        <f t="shared" si="5"/>
        <v>3m 3.52px</v>
      </c>
      <c r="F43" s="8" t="str">
        <f t="shared" si="6"/>
        <v>3m 4.52px</v>
      </c>
      <c r="G43" s="12" t="str">
        <f t="shared" si="7"/>
        <v>1m 9.6px</v>
      </c>
      <c r="H43" s="12" t="str">
        <f t="shared" si="8"/>
        <v>1m 10.6px</v>
      </c>
      <c r="I43" s="8" t="str">
        <f t="shared" si="9"/>
        <v>1m 15.12px</v>
      </c>
      <c r="J43" s="9"/>
      <c r="K43" s="9">
        <v>0.5</v>
      </c>
      <c r="L43" s="9">
        <v>1.1000000000000001</v>
      </c>
      <c r="M43" s="9">
        <v>1.4450000000000001</v>
      </c>
      <c r="N43" s="1"/>
      <c r="O43" s="1"/>
    </row>
    <row r="44" spans="1:15" x14ac:dyDescent="0.3">
      <c r="A44" s="12">
        <v>41</v>
      </c>
      <c r="B44" s="8"/>
      <c r="C44" s="8" t="s">
        <v>57</v>
      </c>
      <c r="D44" s="8" t="s">
        <v>16</v>
      </c>
      <c r="E44" s="8" t="str">
        <f t="shared" si="5"/>
        <v>4m 14.72px</v>
      </c>
      <c r="F44" s="8" t="str">
        <f t="shared" si="6"/>
        <v>4m 15.72px</v>
      </c>
      <c r="G44" s="12" t="str">
        <f t="shared" si="7"/>
        <v>3m 4.8px</v>
      </c>
      <c r="H44" s="12" t="str">
        <f t="shared" si="8"/>
        <v>3m 5.8px</v>
      </c>
      <c r="I44" s="8" t="str">
        <f t="shared" si="9"/>
        <v>1m 15.12px</v>
      </c>
      <c r="J44" s="9"/>
      <c r="K44" s="9">
        <v>0.5</v>
      </c>
      <c r="L44" s="9">
        <v>2.8</v>
      </c>
      <c r="M44" s="9">
        <v>1.4450000000000001</v>
      </c>
      <c r="N44" s="1"/>
      <c r="O44" s="1"/>
    </row>
    <row r="45" spans="1:15" x14ac:dyDescent="0.3">
      <c r="A45" s="12">
        <v>42</v>
      </c>
      <c r="B45" s="8" t="s">
        <v>7</v>
      </c>
      <c r="C45" s="8" t="s">
        <v>11</v>
      </c>
      <c r="D45" s="8" t="s">
        <v>25</v>
      </c>
      <c r="E45" s="8" t="str">
        <f t="shared" si="5"/>
        <v>2m 4.22px</v>
      </c>
      <c r="F45" s="8" t="str">
        <f t="shared" si="6"/>
        <v>2m 5.22px</v>
      </c>
      <c r="G45" s="12" t="str">
        <f t="shared" si="7"/>
        <v>0m 10.3px</v>
      </c>
      <c r="H45" s="12" t="str">
        <f t="shared" si="8"/>
        <v>0m 11.3px</v>
      </c>
      <c r="I45" s="8" t="str">
        <f t="shared" si="9"/>
        <v>1m 2.24px</v>
      </c>
      <c r="J45" s="9">
        <v>0.1875</v>
      </c>
      <c r="K45" s="9">
        <v>0.1875</v>
      </c>
      <c r="L45" s="9">
        <v>0.26874999999999999</v>
      </c>
      <c r="M45" s="9">
        <v>0.76500000000000001</v>
      </c>
      <c r="N45" s="1"/>
      <c r="O45" s="1"/>
    </row>
    <row r="46" spans="1:15" x14ac:dyDescent="0.3">
      <c r="A46" s="12">
        <v>43</v>
      </c>
      <c r="B46" s="8" t="s">
        <v>7</v>
      </c>
      <c r="C46" s="8" t="s">
        <v>11</v>
      </c>
      <c r="D46" s="8" t="s">
        <v>14</v>
      </c>
      <c r="E46" s="8" t="str">
        <f t="shared" si="5"/>
        <v>2m 12.24px</v>
      </c>
      <c r="F46" s="8" t="str">
        <f t="shared" si="6"/>
        <v>2m 13.24px</v>
      </c>
      <c r="G46" s="12" t="str">
        <f t="shared" si="7"/>
        <v>1m 2.32px</v>
      </c>
      <c r="H46" s="12" t="str">
        <f t="shared" si="8"/>
        <v>1m 3.32px</v>
      </c>
      <c r="I46" s="8" t="str">
        <f t="shared" si="9"/>
        <v>2m 2.424px</v>
      </c>
      <c r="J46" s="9">
        <v>0.1875</v>
      </c>
      <c r="K46" s="9">
        <v>0.1875</v>
      </c>
      <c r="L46" s="9">
        <v>0.77</v>
      </c>
      <c r="M46" s="9">
        <v>1.7765</v>
      </c>
      <c r="N46" s="1"/>
      <c r="O46" s="1"/>
    </row>
    <row r="47" spans="1:15" x14ac:dyDescent="0.3">
      <c r="A47" s="12">
        <v>44</v>
      </c>
      <c r="B47" s="8" t="s">
        <v>7</v>
      </c>
      <c r="C47" s="8" t="s">
        <v>11</v>
      </c>
      <c r="D47" s="8" t="s">
        <v>56</v>
      </c>
      <c r="E47" s="8" t="str">
        <f t="shared" si="5"/>
        <v>2m 11.12px</v>
      </c>
      <c r="F47" s="8" t="str">
        <f t="shared" si="6"/>
        <v>2m 12.12px</v>
      </c>
      <c r="G47" s="12" t="str">
        <f t="shared" si="7"/>
        <v>1m 1.2px</v>
      </c>
      <c r="H47" s="12" t="str">
        <f t="shared" si="8"/>
        <v>1m 2.2px</v>
      </c>
      <c r="I47" s="8" t="str">
        <f t="shared" si="9"/>
        <v>1m 7.44px</v>
      </c>
      <c r="J47" s="9">
        <v>0.1875</v>
      </c>
      <c r="K47" s="9">
        <v>-0.51249999999999996</v>
      </c>
      <c r="L47" s="9">
        <v>1.4</v>
      </c>
      <c r="M47" s="9">
        <v>1.79</v>
      </c>
      <c r="N47" s="1"/>
      <c r="O47" s="1"/>
    </row>
    <row r="48" spans="1:15" x14ac:dyDescent="0.3">
      <c r="A48" s="12">
        <v>45</v>
      </c>
      <c r="B48" s="8" t="s">
        <v>7</v>
      </c>
      <c r="C48" s="8" t="s">
        <v>11</v>
      </c>
      <c r="D48" s="8" t="s">
        <v>15</v>
      </c>
      <c r="E48" s="8" t="str">
        <f t="shared" si="5"/>
        <v>3m 1.52px</v>
      </c>
      <c r="F48" s="8" t="str">
        <f t="shared" si="6"/>
        <v>3m 2.52px</v>
      </c>
      <c r="G48" s="12" t="str">
        <f t="shared" si="7"/>
        <v>1m 7.6px</v>
      </c>
      <c r="H48" s="12" t="str">
        <f t="shared" si="8"/>
        <v>1m 8.6px</v>
      </c>
      <c r="I48" s="8" t="str">
        <f t="shared" si="9"/>
        <v>1m 13.12px</v>
      </c>
      <c r="J48" s="9">
        <v>0.1875</v>
      </c>
      <c r="K48" s="9">
        <v>0.1875</v>
      </c>
      <c r="L48" s="9">
        <v>1.1000000000000001</v>
      </c>
      <c r="M48" s="9">
        <v>1.4450000000000001</v>
      </c>
      <c r="N48" s="1"/>
      <c r="O48" s="1"/>
    </row>
    <row r="49" spans="1:15" x14ac:dyDescent="0.3">
      <c r="A49" s="12">
        <v>46</v>
      </c>
      <c r="B49" s="8" t="s">
        <v>7</v>
      </c>
      <c r="C49" s="8" t="s">
        <v>11</v>
      </c>
      <c r="D49" s="8" t="s">
        <v>16</v>
      </c>
      <c r="E49" s="8" t="str">
        <f t="shared" si="5"/>
        <v>4m 12.72px</v>
      </c>
      <c r="F49" s="8" t="str">
        <f t="shared" si="6"/>
        <v>4m 13.72px</v>
      </c>
      <c r="G49" s="12" t="str">
        <f t="shared" si="7"/>
        <v>3m 2.8px</v>
      </c>
      <c r="H49" s="12" t="str">
        <f t="shared" si="8"/>
        <v>3m 3.8px</v>
      </c>
      <c r="I49" s="8" t="str">
        <f t="shared" si="9"/>
        <v>1m 13.12px</v>
      </c>
      <c r="J49" s="9">
        <v>0.1875</v>
      </c>
      <c r="K49" s="9">
        <v>0.1875</v>
      </c>
      <c r="L49" s="9">
        <v>2.8</v>
      </c>
      <c r="M49" s="9">
        <v>1.4450000000000001</v>
      </c>
      <c r="N49" s="1"/>
      <c r="O49" s="1"/>
    </row>
    <row r="50" spans="1:15" x14ac:dyDescent="0.3">
      <c r="A50" s="12">
        <v>47</v>
      </c>
      <c r="B50" s="8" t="s">
        <v>7</v>
      </c>
      <c r="C50" s="8" t="s">
        <v>57</v>
      </c>
      <c r="D50" s="8" t="s">
        <v>25</v>
      </c>
      <c r="E50" s="8" t="str">
        <f t="shared" si="5"/>
        <v>2m 9.22px</v>
      </c>
      <c r="F50" s="8" t="str">
        <f t="shared" si="6"/>
        <v>2m 10.22px</v>
      </c>
      <c r="G50" s="12" t="str">
        <f t="shared" si="7"/>
        <v>0m 15.3px</v>
      </c>
      <c r="H50" s="12" t="str">
        <f t="shared" si="8"/>
        <v>1m 0.300000000000001px</v>
      </c>
      <c r="I50" s="8" t="str">
        <f t="shared" si="9"/>
        <v>1m 7.24px</v>
      </c>
      <c r="J50" s="9">
        <v>0.1875</v>
      </c>
      <c r="K50" s="9">
        <v>0.5</v>
      </c>
      <c r="L50" s="9">
        <v>0.26874999999999999</v>
      </c>
      <c r="M50" s="9">
        <v>0.76500000000000001</v>
      </c>
      <c r="N50" s="1"/>
      <c r="O50" s="1"/>
    </row>
    <row r="51" spans="1:15" x14ac:dyDescent="0.3">
      <c r="A51" s="12">
        <v>48</v>
      </c>
      <c r="B51" s="8" t="s">
        <v>7</v>
      </c>
      <c r="C51" s="8" t="s">
        <v>57</v>
      </c>
      <c r="D51" s="8" t="s">
        <v>14</v>
      </c>
      <c r="E51" s="8" t="str">
        <f t="shared" si="5"/>
        <v>3m 1.24px</v>
      </c>
      <c r="F51" s="8" t="str">
        <f t="shared" si="6"/>
        <v>3m 2.24px</v>
      </c>
      <c r="G51" s="12" t="str">
        <f t="shared" si="7"/>
        <v>1m 7.32px</v>
      </c>
      <c r="H51" s="12" t="str">
        <f t="shared" si="8"/>
        <v>1m 8.32px</v>
      </c>
      <c r="I51" s="8" t="str">
        <f t="shared" si="9"/>
        <v>2m 7.424px</v>
      </c>
      <c r="J51" s="9">
        <v>0.1875</v>
      </c>
      <c r="K51" s="9">
        <v>0.5</v>
      </c>
      <c r="L51" s="9">
        <v>0.77</v>
      </c>
      <c r="M51" s="9">
        <v>1.7765</v>
      </c>
      <c r="N51" s="1"/>
      <c r="O51" s="1"/>
    </row>
    <row r="52" spans="1:15" x14ac:dyDescent="0.3">
      <c r="A52" s="12">
        <v>49</v>
      </c>
      <c r="B52" s="8" t="s">
        <v>7</v>
      </c>
      <c r="C52" s="8" t="s">
        <v>57</v>
      </c>
      <c r="D52" s="8" t="s">
        <v>56</v>
      </c>
      <c r="E52" s="8" t="str">
        <f t="shared" si="5"/>
        <v>3m 0.120000000000005px</v>
      </c>
      <c r="F52" s="8" t="str">
        <f t="shared" si="6"/>
        <v>3m 1.12px</v>
      </c>
      <c r="G52" s="12" t="str">
        <f t="shared" si="7"/>
        <v>1m 6.2px</v>
      </c>
      <c r="H52" s="12" t="str">
        <f t="shared" si="8"/>
        <v>1m 7.2px</v>
      </c>
      <c r="I52" s="8" t="str">
        <f t="shared" si="9"/>
        <v>1m 12.44px</v>
      </c>
      <c r="J52" s="9">
        <v>0.1875</v>
      </c>
      <c r="K52" s="9">
        <v>-0.2</v>
      </c>
      <c r="L52" s="9">
        <v>1.4</v>
      </c>
      <c r="M52" s="9">
        <v>1.79</v>
      </c>
      <c r="N52" s="1"/>
      <c r="O52" s="1"/>
    </row>
    <row r="53" spans="1:15" x14ac:dyDescent="0.3">
      <c r="A53" s="12">
        <v>50</v>
      </c>
      <c r="B53" s="8" t="s">
        <v>7</v>
      </c>
      <c r="C53" s="8" t="s">
        <v>57</v>
      </c>
      <c r="D53" s="8" t="s">
        <v>15</v>
      </c>
      <c r="E53" s="8" t="str">
        <f t="shared" si="5"/>
        <v>3m 6.52px</v>
      </c>
      <c r="F53" s="8" t="str">
        <f t="shared" si="6"/>
        <v>3m 7.52px</v>
      </c>
      <c r="G53" s="12" t="str">
        <f t="shared" si="7"/>
        <v>1m 12.6px</v>
      </c>
      <c r="H53" s="12" t="str">
        <f t="shared" si="8"/>
        <v>1m 13.6px</v>
      </c>
      <c r="I53" s="8" t="str">
        <f t="shared" si="9"/>
        <v>2m 2.12px</v>
      </c>
      <c r="J53" s="9">
        <v>0.1875</v>
      </c>
      <c r="K53" s="9">
        <v>0.5</v>
      </c>
      <c r="L53" s="9">
        <v>1.1000000000000001</v>
      </c>
      <c r="M53" s="9">
        <v>1.4450000000000001</v>
      </c>
      <c r="N53" s="1"/>
      <c r="O53" s="1"/>
    </row>
    <row r="54" spans="1:15" x14ac:dyDescent="0.3">
      <c r="A54" s="12">
        <v>51</v>
      </c>
      <c r="B54" s="8" t="s">
        <v>7</v>
      </c>
      <c r="C54" s="8" t="s">
        <v>57</v>
      </c>
      <c r="D54" s="8" t="s">
        <v>16</v>
      </c>
      <c r="E54" s="8" t="str">
        <f t="shared" si="5"/>
        <v>5m 1.72px</v>
      </c>
      <c r="F54" s="8" t="str">
        <f t="shared" si="6"/>
        <v>5m 2.72px</v>
      </c>
      <c r="G54" s="12" t="str">
        <f t="shared" si="7"/>
        <v>3m 7.8px</v>
      </c>
      <c r="H54" s="12" t="str">
        <f t="shared" si="8"/>
        <v>3m 8.8px</v>
      </c>
      <c r="I54" s="8" t="str">
        <f t="shared" si="9"/>
        <v>2m 2.12px</v>
      </c>
      <c r="J54" s="9">
        <v>0.1875</v>
      </c>
      <c r="K54" s="9">
        <v>0.5</v>
      </c>
      <c r="L54" s="9">
        <v>2.8</v>
      </c>
      <c r="M54" s="9">
        <v>1.4450000000000001</v>
      </c>
      <c r="N54" s="1"/>
      <c r="O54" s="1"/>
    </row>
    <row r="55" spans="1:15" x14ac:dyDescent="0.3">
      <c r="B55" s="4"/>
      <c r="C55" s="4"/>
      <c r="D55" s="4"/>
      <c r="E55" s="1"/>
      <c r="F55" s="1"/>
      <c r="I55" s="4"/>
      <c r="J55" s="2"/>
      <c r="K55" s="2"/>
      <c r="L55" s="2"/>
      <c r="N55" s="1"/>
      <c r="O55" s="1"/>
    </row>
  </sheetData>
  <mergeCells count="3">
    <mergeCell ref="A1:D1"/>
    <mergeCell ref="E1:H1"/>
    <mergeCell ref="J1:M1"/>
  </mergeCells>
  <phoneticPr fontId="2" type="noConversion"/>
  <conditionalFormatting sqref="E3:I10 E12:I23 E25:I54">
    <cfRule type="expression" dxfId="19" priority="8" stopIfTrue="1">
      <formula>AND(VALUE(LEFT(E3, FIND("m", E3) - 1)) &gt;= 2, VALUE(LEFT(E3, FIND("m", E3) - 1)) &lt; 3)</formula>
    </cfRule>
    <cfRule type="expression" dxfId="18" priority="9" stopIfTrue="1">
      <formula>VALUE(LEFT(E3, FIND("m", E3) - 1)) &gt;= 3</formula>
    </cfRule>
  </conditionalFormatting>
  <conditionalFormatting sqref="E3:I23">
    <cfRule type="expression" dxfId="17" priority="6" stopIfTrue="1">
      <formula>VALUE(LEFT(E3, FIND("m", E3) - 1)) &lt; 2</formula>
    </cfRule>
  </conditionalFormatting>
  <conditionalFormatting sqref="E11:I11">
    <cfRule type="expression" dxfId="16" priority="4" stopIfTrue="1">
      <formula>VALUE(LEFT(E11, FIND("m", E11) - 1)) &gt;= 3</formula>
    </cfRule>
    <cfRule type="expression" dxfId="15" priority="5" stopIfTrue="1">
      <formula>AND(VALUE(LEFT(E11, FIND("m", E11) - 1)) &gt;= 2, VALUE(LEFT(E11, FIND("m", E11) - 1)) &lt; 3)</formula>
    </cfRule>
  </conditionalFormatting>
  <conditionalFormatting sqref="E24:I24">
    <cfRule type="expression" dxfId="14" priority="1" stopIfTrue="1">
      <formula>VALUE(LEFT(E24, FIND("m", E24) - 1)) &gt;= 3</formula>
    </cfRule>
    <cfRule type="expression" dxfId="13" priority="2" stopIfTrue="1">
      <formula>AND(VALUE(LEFT(E24, FIND("m", E24) - 1)) &gt;= 2, VALUE(LEFT(E24, FIND("m", E24) - 1)) &lt; 3)</formula>
    </cfRule>
  </conditionalFormatting>
  <conditionalFormatting sqref="E24:I54">
    <cfRule type="expression" dxfId="12" priority="3" stopIfTrue="1">
      <formula>VALUE(LEFT(E24, FIND("m", E24) - 1)) &lt; 2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C2B50-FE41-4DD7-B1DD-5217FB61F131}">
  <dimension ref="A1:O54"/>
  <sheetViews>
    <sheetView workbookViewId="0">
      <pane ySplit="2" topLeftCell="A9" activePane="bottomLeft" state="frozen"/>
      <selection pane="bottomLeft" sqref="A1:D1"/>
    </sheetView>
  </sheetViews>
  <sheetFormatPr defaultColWidth="15.58203125" defaultRowHeight="14" x14ac:dyDescent="0.3"/>
  <cols>
    <col min="1" max="1" width="10.58203125" style="3" customWidth="1"/>
    <col min="2" max="4" width="15.58203125" style="1"/>
    <col min="7" max="8" width="15.58203125" style="3"/>
    <col min="9" max="9" width="15.58203125" style="1"/>
    <col min="10" max="12" width="10.58203125" style="1" customWidth="1"/>
    <col min="13" max="13" width="10.58203125" style="2" customWidth="1"/>
    <col min="14" max="15" width="15.58203125" style="2"/>
    <col min="16" max="16384" width="15.58203125" style="1"/>
  </cols>
  <sheetData>
    <row r="1" spans="1:15" x14ac:dyDescent="0.3">
      <c r="A1" s="25" t="s">
        <v>18</v>
      </c>
      <c r="B1" s="27"/>
      <c r="C1" s="27"/>
      <c r="D1" s="27"/>
      <c r="E1" s="26" t="s">
        <v>19</v>
      </c>
      <c r="F1" s="27"/>
      <c r="G1" s="27"/>
      <c r="H1" s="27"/>
      <c r="I1" s="11"/>
      <c r="J1" s="28" t="s">
        <v>20</v>
      </c>
      <c r="K1" s="27"/>
      <c r="L1" s="27"/>
      <c r="M1" s="27"/>
      <c r="N1" s="1"/>
      <c r="O1" s="1"/>
    </row>
    <row r="2" spans="1:15" s="5" customFormat="1" ht="42" x14ac:dyDescent="0.3">
      <c r="A2" s="18" t="s">
        <v>32</v>
      </c>
      <c r="B2" s="6" t="s">
        <v>7</v>
      </c>
      <c r="C2" s="6" t="s">
        <v>8</v>
      </c>
      <c r="D2" s="10" t="s">
        <v>53</v>
      </c>
      <c r="E2" s="17" t="s">
        <v>28</v>
      </c>
      <c r="F2" s="17" t="s">
        <v>29</v>
      </c>
      <c r="G2" s="18" t="s">
        <v>30</v>
      </c>
      <c r="H2" s="18" t="s">
        <v>31</v>
      </c>
      <c r="I2" s="17" t="s">
        <v>54</v>
      </c>
      <c r="J2" s="7" t="s">
        <v>7</v>
      </c>
      <c r="K2" s="7" t="s">
        <v>8</v>
      </c>
      <c r="L2" s="7" t="s">
        <v>9</v>
      </c>
      <c r="M2" s="7" t="s">
        <v>10</v>
      </c>
    </row>
    <row r="3" spans="1:15" x14ac:dyDescent="0.3">
      <c r="A3" s="12">
        <v>0</v>
      </c>
      <c r="B3" s="8"/>
      <c r="C3" s="8"/>
      <c r="D3" s="8" t="s">
        <v>24</v>
      </c>
      <c r="E3" s="8">
        <f t="shared" ref="E3" si="0">SUM(J3:L3)+1.62</f>
        <v>1.62</v>
      </c>
      <c r="F3" s="8">
        <f t="shared" ref="F3" si="1">SUM(J3:L3)+0.0625+1.62</f>
        <v>1.6825000000000001</v>
      </c>
      <c r="G3" s="8">
        <f t="shared" ref="G3" si="2">SUM(J3:L3)</f>
        <v>0</v>
      </c>
      <c r="H3" s="8">
        <f t="shared" ref="H3" si="3">SUM(J3:L3)+0.0625</f>
        <v>6.25E-2</v>
      </c>
      <c r="I3" s="8">
        <f t="shared" ref="I3" si="4">SUM(J3:K3)+M3</f>
        <v>1.62</v>
      </c>
      <c r="J3" s="9"/>
      <c r="K3" s="9"/>
      <c r="L3" s="9"/>
      <c r="M3" s="9">
        <v>1.62</v>
      </c>
      <c r="N3" s="1"/>
      <c r="O3" s="1"/>
    </row>
    <row r="4" spans="1:15" x14ac:dyDescent="0.3">
      <c r="A4" s="12">
        <v>1</v>
      </c>
      <c r="B4" s="8" t="s">
        <v>7</v>
      </c>
      <c r="C4" s="8"/>
      <c r="D4" s="8" t="s">
        <v>24</v>
      </c>
      <c r="E4" s="8">
        <f t="shared" ref="E4:E54" si="5">SUM(J4:L4)+1.62</f>
        <v>1.2075</v>
      </c>
      <c r="F4" s="8">
        <f t="shared" ref="F4:F54" si="6">SUM(J4:L4)+0.0625+1.62</f>
        <v>1.27</v>
      </c>
      <c r="G4" s="8">
        <f t="shared" ref="G4:G54" si="7">SUM(J4:L4)</f>
        <v>-0.41249999999999998</v>
      </c>
      <c r="H4" s="8">
        <f t="shared" ref="H4:H54" si="8">SUM(J4:L4)+0.0625</f>
        <v>-0.35</v>
      </c>
      <c r="I4" s="8">
        <f t="shared" ref="I4:I48" si="9">SUM(J4:K4)+M4</f>
        <v>1.2075</v>
      </c>
      <c r="J4" s="9">
        <v>-0.41249999999999998</v>
      </c>
      <c r="K4" s="9"/>
      <c r="L4" s="9"/>
      <c r="M4" s="9">
        <v>1.62</v>
      </c>
      <c r="N4" s="1"/>
      <c r="O4" s="1"/>
    </row>
    <row r="5" spans="1:15" x14ac:dyDescent="0.3">
      <c r="A5" s="12">
        <v>2</v>
      </c>
      <c r="B5" s="8"/>
      <c r="C5" s="8" t="s">
        <v>11</v>
      </c>
      <c r="D5" s="8" t="s">
        <v>24</v>
      </c>
      <c r="E5" s="8">
        <f t="shared" si="5"/>
        <v>1.2075</v>
      </c>
      <c r="F5" s="8">
        <f t="shared" si="6"/>
        <v>1.27</v>
      </c>
      <c r="G5" s="8">
        <f t="shared" si="7"/>
        <v>-0.41249999999999998</v>
      </c>
      <c r="H5" s="8">
        <f t="shared" si="8"/>
        <v>-0.35</v>
      </c>
      <c r="I5" s="8">
        <f t="shared" si="9"/>
        <v>1.2075</v>
      </c>
      <c r="J5" s="9"/>
      <c r="K5" s="9">
        <v>-0.41249999999999998</v>
      </c>
      <c r="L5" s="9"/>
      <c r="M5" s="9">
        <v>1.62</v>
      </c>
      <c r="N5" s="1"/>
      <c r="O5" s="1"/>
    </row>
    <row r="6" spans="1:15" x14ac:dyDescent="0.3">
      <c r="A6" s="12">
        <v>3</v>
      </c>
      <c r="B6" s="8"/>
      <c r="C6" s="8" t="s">
        <v>57</v>
      </c>
      <c r="D6" s="8" t="s">
        <v>24</v>
      </c>
      <c r="E6" s="8">
        <f t="shared" si="5"/>
        <v>1.52</v>
      </c>
      <c r="F6" s="8">
        <f t="shared" si="6"/>
        <v>1.5825</v>
      </c>
      <c r="G6" s="8">
        <f t="shared" si="7"/>
        <v>-0.1</v>
      </c>
      <c r="H6" s="8">
        <f t="shared" si="8"/>
        <v>-3.7500000000000006E-2</v>
      </c>
      <c r="I6" s="8">
        <f t="shared" si="9"/>
        <v>1.52</v>
      </c>
      <c r="J6" s="9"/>
      <c r="K6" s="9">
        <v>-0.1</v>
      </c>
      <c r="L6" s="9"/>
      <c r="M6" s="9">
        <v>1.62</v>
      </c>
      <c r="N6" s="1"/>
      <c r="O6" s="1"/>
    </row>
    <row r="7" spans="1:15" x14ac:dyDescent="0.3">
      <c r="A7" s="12">
        <v>4</v>
      </c>
      <c r="B7" s="8" t="s">
        <v>7</v>
      </c>
      <c r="C7" s="8" t="s">
        <v>11</v>
      </c>
      <c r="D7" s="8" t="s">
        <v>24</v>
      </c>
      <c r="E7" s="8">
        <f t="shared" si="5"/>
        <v>1.395</v>
      </c>
      <c r="F7" s="8">
        <f t="shared" si="6"/>
        <v>1.4575</v>
      </c>
      <c r="G7" s="8">
        <f t="shared" si="7"/>
        <v>-0.22499999999999998</v>
      </c>
      <c r="H7" s="8">
        <f t="shared" si="8"/>
        <v>-0.16249999999999998</v>
      </c>
      <c r="I7" s="8">
        <f t="shared" si="9"/>
        <v>1.395</v>
      </c>
      <c r="J7" s="9">
        <v>0.1875</v>
      </c>
      <c r="K7" s="9">
        <v>-0.41249999999999998</v>
      </c>
      <c r="L7" s="9"/>
      <c r="M7" s="9">
        <v>1.62</v>
      </c>
      <c r="N7" s="1"/>
      <c r="O7" s="1"/>
    </row>
    <row r="8" spans="1:15" x14ac:dyDescent="0.3">
      <c r="A8" s="12">
        <v>5</v>
      </c>
      <c r="B8" s="8" t="s">
        <v>7</v>
      </c>
      <c r="C8" s="8" t="s">
        <v>57</v>
      </c>
      <c r="D8" s="8" t="s">
        <v>24</v>
      </c>
      <c r="E8" s="8">
        <f t="shared" si="5"/>
        <v>1.7075</v>
      </c>
      <c r="F8" s="8">
        <f t="shared" si="6"/>
        <v>1.77</v>
      </c>
      <c r="G8" s="8">
        <f t="shared" si="7"/>
        <v>8.7499999999999994E-2</v>
      </c>
      <c r="H8" s="8">
        <f t="shared" si="8"/>
        <v>0.15</v>
      </c>
      <c r="I8" s="8">
        <f t="shared" si="9"/>
        <v>1.7075</v>
      </c>
      <c r="J8" s="9">
        <v>0.1875</v>
      </c>
      <c r="K8" s="9">
        <v>-0.1</v>
      </c>
      <c r="L8" s="9"/>
      <c r="M8" s="9">
        <v>1.62</v>
      </c>
      <c r="N8" s="1"/>
      <c r="O8" s="1"/>
    </row>
    <row r="9" spans="1:15" x14ac:dyDescent="0.3">
      <c r="A9" s="12">
        <v>6</v>
      </c>
      <c r="B9" s="8"/>
      <c r="C9" s="8"/>
      <c r="D9" s="8" t="s">
        <v>25</v>
      </c>
      <c r="E9" s="8">
        <f t="shared" si="5"/>
        <v>1.8887500000000002</v>
      </c>
      <c r="F9" s="8">
        <f t="shared" si="6"/>
        <v>1.9512500000000002</v>
      </c>
      <c r="G9" s="8">
        <f t="shared" si="7"/>
        <v>0.26874999999999999</v>
      </c>
      <c r="H9" s="8">
        <f t="shared" si="8"/>
        <v>0.33124999999999999</v>
      </c>
      <c r="I9" s="8">
        <f t="shared" si="9"/>
        <v>0.76500000000000001</v>
      </c>
      <c r="J9" s="9"/>
      <c r="K9" s="9"/>
      <c r="L9" s="9">
        <v>0.26874999999999999</v>
      </c>
      <c r="M9" s="9">
        <v>0.76500000000000001</v>
      </c>
      <c r="N9" s="1"/>
      <c r="O9" s="1"/>
    </row>
    <row r="10" spans="1:15" x14ac:dyDescent="0.3">
      <c r="A10" s="12">
        <v>7</v>
      </c>
      <c r="B10" s="8"/>
      <c r="C10" s="8"/>
      <c r="D10" s="8" t="s">
        <v>26</v>
      </c>
      <c r="E10" s="8">
        <f t="shared" si="5"/>
        <v>2.1325000000000003</v>
      </c>
      <c r="F10" s="8">
        <f t="shared" si="6"/>
        <v>2.1950000000000003</v>
      </c>
      <c r="G10" s="8">
        <f t="shared" si="7"/>
        <v>0.51249999999999996</v>
      </c>
      <c r="H10" s="8">
        <f t="shared" si="8"/>
        <v>0.57499999999999996</v>
      </c>
      <c r="I10" s="8">
        <f t="shared" si="9"/>
        <v>1.425</v>
      </c>
      <c r="J10" s="9"/>
      <c r="K10" s="9"/>
      <c r="L10" s="9">
        <v>0.51249999999999996</v>
      </c>
      <c r="M10" s="9">
        <v>1.425</v>
      </c>
      <c r="N10" s="1"/>
      <c r="O10" s="1"/>
    </row>
    <row r="11" spans="1:15" x14ac:dyDescent="0.3">
      <c r="A11" s="12">
        <v>8</v>
      </c>
      <c r="D11" s="4" t="s">
        <v>60</v>
      </c>
      <c r="E11" s="1" t="str">
        <f>INT(SUM(J11:L11)+1.62)&amp;"m "&amp;((SUM(J11:L11)+1.62)-INT(SUM(J11:L11)+1.62))*16&amp;"px"</f>
        <v>2m 2.52px</v>
      </c>
      <c r="F11" s="1" t="str">
        <f>INT(SUM(J11:L11)+0.0625+1.62)&amp;"m "&amp;((SUM(J11:L11)+0.0625+1.62)-INT(SUM(J11:L11)+0.0625+1.62))*16&amp;"px"</f>
        <v>2m 3.52px</v>
      </c>
      <c r="G11" s="22" t="str">
        <f>INT(SUM(J11:L11))&amp;"m "&amp;((SUM(J11:L11))-INT(SUM(J11:L11)))*16&amp;"px"</f>
        <v>0m 8.6px</v>
      </c>
      <c r="H11" s="22" t="str">
        <f>INT(SUM(J11:L11)+0.0625)&amp;"m "&amp;((SUM(J11:L11)+0.0625)-INT(SUM(J11:L11)+0.0625))*16&amp;"px"</f>
        <v>0m 9.6px</v>
      </c>
      <c r="I11" s="4" t="str">
        <f>INT(SUM(J11:K11)+M11)&amp;"m "&amp;((SUM(J11:K11)+M11)-INT(SUM(J11:K11)+M11))*16&amp;"px"</f>
        <v>0m 4.4016px</v>
      </c>
      <c r="J11" s="9"/>
      <c r="K11" s="9"/>
      <c r="L11" s="9">
        <v>0.53749999999999998</v>
      </c>
      <c r="M11" s="9">
        <v>0.27510000000000001</v>
      </c>
      <c r="N11" s="1"/>
      <c r="O11" s="1"/>
    </row>
    <row r="12" spans="1:15" x14ac:dyDescent="0.3">
      <c r="A12" s="12">
        <v>9</v>
      </c>
      <c r="B12" s="8"/>
      <c r="C12" s="8"/>
      <c r="D12" s="8" t="s">
        <v>12</v>
      </c>
      <c r="E12" s="8">
        <f t="shared" si="5"/>
        <v>2.2324999999999999</v>
      </c>
      <c r="F12" s="8">
        <f t="shared" si="6"/>
        <v>2.2949999999999999</v>
      </c>
      <c r="G12" s="8">
        <f t="shared" si="7"/>
        <v>0.61250000000000004</v>
      </c>
      <c r="H12" s="8">
        <f t="shared" si="8"/>
        <v>0.67500000000000004</v>
      </c>
      <c r="I12" s="8">
        <f t="shared" si="9"/>
        <v>1.52</v>
      </c>
      <c r="J12" s="9"/>
      <c r="K12" s="9"/>
      <c r="L12" s="9">
        <v>0.61250000000000004</v>
      </c>
      <c r="M12" s="9">
        <v>1.52</v>
      </c>
      <c r="N12" s="1"/>
      <c r="O12" s="1"/>
    </row>
    <row r="13" spans="1:15" x14ac:dyDescent="0.3">
      <c r="A13" s="12">
        <v>10</v>
      </c>
      <c r="B13" s="8"/>
      <c r="C13" s="8"/>
      <c r="D13" s="8" t="s">
        <v>58</v>
      </c>
      <c r="E13" s="8">
        <f t="shared" si="5"/>
        <v>2.3387500000000001</v>
      </c>
      <c r="F13" s="8">
        <f t="shared" si="6"/>
        <v>2.4012500000000001</v>
      </c>
      <c r="G13" s="8">
        <f t="shared" si="7"/>
        <v>0.71875</v>
      </c>
      <c r="H13" s="8">
        <f t="shared" si="8"/>
        <v>0.78125</v>
      </c>
      <c r="I13" s="8">
        <f t="shared" si="9"/>
        <v>1.52</v>
      </c>
      <c r="J13" s="9"/>
      <c r="K13" s="9"/>
      <c r="L13" s="9">
        <v>0.71875</v>
      </c>
      <c r="M13" s="9">
        <v>1.52</v>
      </c>
      <c r="N13" s="1"/>
      <c r="O13" s="1"/>
    </row>
    <row r="14" spans="1:15" x14ac:dyDescent="0.3">
      <c r="A14" s="12">
        <v>11</v>
      </c>
      <c r="B14" s="8"/>
      <c r="C14" s="8"/>
      <c r="D14" s="8" t="s">
        <v>14</v>
      </c>
      <c r="E14" s="8">
        <f t="shared" si="5"/>
        <v>2.39</v>
      </c>
      <c r="F14" s="8">
        <f t="shared" si="6"/>
        <v>2.4525000000000001</v>
      </c>
      <c r="G14" s="8">
        <f t="shared" si="7"/>
        <v>0.77</v>
      </c>
      <c r="H14" s="8">
        <f t="shared" si="8"/>
        <v>0.83250000000000002</v>
      </c>
      <c r="I14" s="8">
        <f t="shared" si="9"/>
        <v>1.7765</v>
      </c>
      <c r="J14" s="9"/>
      <c r="K14" s="9"/>
      <c r="L14" s="9">
        <v>0.77</v>
      </c>
      <c r="M14" s="9">
        <v>1.7765</v>
      </c>
      <c r="N14" s="1"/>
      <c r="O14" s="1"/>
    </row>
    <row r="15" spans="1:15" x14ac:dyDescent="0.3">
      <c r="A15" s="12">
        <v>12</v>
      </c>
      <c r="B15" s="8"/>
      <c r="C15" s="8"/>
      <c r="D15" s="8" t="s">
        <v>27</v>
      </c>
      <c r="E15" s="8">
        <f t="shared" si="5"/>
        <v>2.4637500000000001</v>
      </c>
      <c r="F15" s="8">
        <f t="shared" si="6"/>
        <v>2.5262500000000001</v>
      </c>
      <c r="G15" s="8">
        <f t="shared" si="7"/>
        <v>0.84375</v>
      </c>
      <c r="H15" s="8">
        <f t="shared" si="8"/>
        <v>0.90625</v>
      </c>
      <c r="I15" s="8">
        <f t="shared" si="9"/>
        <v>1.52</v>
      </c>
      <c r="J15" s="9"/>
      <c r="K15" s="9"/>
      <c r="L15" s="9">
        <v>0.84375</v>
      </c>
      <c r="M15" s="9">
        <v>1.52</v>
      </c>
      <c r="N15" s="1"/>
      <c r="O15" s="1"/>
    </row>
    <row r="16" spans="1:15" x14ac:dyDescent="0.3">
      <c r="A16" s="12">
        <v>13</v>
      </c>
      <c r="B16" s="8"/>
      <c r="C16" s="8"/>
      <c r="D16" s="8" t="s">
        <v>15</v>
      </c>
      <c r="E16" s="8">
        <f t="shared" si="5"/>
        <v>2.72</v>
      </c>
      <c r="F16" s="8">
        <f t="shared" si="6"/>
        <v>2.7825000000000002</v>
      </c>
      <c r="G16" s="8">
        <f t="shared" si="7"/>
        <v>1.1000000000000001</v>
      </c>
      <c r="H16" s="8">
        <f t="shared" si="8"/>
        <v>1.1625000000000001</v>
      </c>
      <c r="I16" s="8">
        <f t="shared" si="9"/>
        <v>1.4450000000000001</v>
      </c>
      <c r="J16" s="9"/>
      <c r="K16" s="9"/>
      <c r="L16" s="9">
        <v>1.1000000000000001</v>
      </c>
      <c r="M16" s="9">
        <v>1.4450000000000001</v>
      </c>
      <c r="N16" s="1"/>
      <c r="O16" s="1"/>
    </row>
    <row r="17" spans="1:15" x14ac:dyDescent="0.3">
      <c r="A17" s="12">
        <v>14</v>
      </c>
      <c r="B17" s="8"/>
      <c r="C17" s="8"/>
      <c r="D17" s="8" t="s">
        <v>16</v>
      </c>
      <c r="E17" s="8">
        <f t="shared" si="5"/>
        <v>4.42</v>
      </c>
      <c r="F17" s="8">
        <f t="shared" si="6"/>
        <v>4.4824999999999999</v>
      </c>
      <c r="G17" s="8">
        <f t="shared" si="7"/>
        <v>2.8</v>
      </c>
      <c r="H17" s="8">
        <f t="shared" si="8"/>
        <v>2.8624999999999998</v>
      </c>
      <c r="I17" s="8">
        <f t="shared" si="9"/>
        <v>1.4450000000000001</v>
      </c>
      <c r="J17" s="9"/>
      <c r="K17" s="9"/>
      <c r="L17" s="9">
        <v>2.8</v>
      </c>
      <c r="M17" s="9">
        <v>1.4450000000000001</v>
      </c>
      <c r="N17" s="1"/>
      <c r="O17" s="1"/>
    </row>
    <row r="18" spans="1:15" x14ac:dyDescent="0.3">
      <c r="A18" s="12">
        <v>15</v>
      </c>
      <c r="B18" s="8"/>
      <c r="C18" s="8"/>
      <c r="D18" s="8" t="s">
        <v>61</v>
      </c>
      <c r="E18" s="8">
        <f t="shared" si="5"/>
        <v>1.79</v>
      </c>
      <c r="F18" s="8">
        <f t="shared" si="6"/>
        <v>1.8525</v>
      </c>
      <c r="G18" s="8">
        <f t="shared" si="7"/>
        <v>0.17</v>
      </c>
      <c r="H18" s="8">
        <f t="shared" si="8"/>
        <v>0.23250000000000001</v>
      </c>
      <c r="I18" s="8">
        <f t="shared" si="9"/>
        <v>1.0449999999999999</v>
      </c>
      <c r="J18" s="9"/>
      <c r="K18" s="9"/>
      <c r="L18" s="9">
        <v>0.17</v>
      </c>
      <c r="M18" s="9">
        <v>1.0449999999999999</v>
      </c>
      <c r="N18" s="1"/>
      <c r="O18" s="1"/>
    </row>
    <row r="19" spans="1:15" x14ac:dyDescent="0.3">
      <c r="A19" s="12">
        <v>16</v>
      </c>
      <c r="B19" s="8"/>
      <c r="C19" s="8"/>
      <c r="D19" s="8" t="s">
        <v>62</v>
      </c>
      <c r="E19" s="8">
        <f t="shared" si="5"/>
        <v>3.02</v>
      </c>
      <c r="F19" s="8">
        <f t="shared" si="6"/>
        <v>3.0825</v>
      </c>
      <c r="G19" s="8">
        <f t="shared" si="7"/>
        <v>1.4</v>
      </c>
      <c r="H19" s="8">
        <f t="shared" si="8"/>
        <v>1.4624999999999999</v>
      </c>
      <c r="I19" s="8">
        <f t="shared" si="9"/>
        <v>2.2749999999999999</v>
      </c>
      <c r="J19" s="9"/>
      <c r="K19" s="9"/>
      <c r="L19" s="9">
        <v>1.4</v>
      </c>
      <c r="M19" s="9">
        <v>2.2749999999999999</v>
      </c>
      <c r="N19" s="1"/>
      <c r="O19" s="1"/>
    </row>
    <row r="20" spans="1:15" x14ac:dyDescent="0.3">
      <c r="A20" s="12">
        <v>17</v>
      </c>
      <c r="B20" s="8"/>
      <c r="C20" s="8"/>
      <c r="D20" s="8" t="s">
        <v>56</v>
      </c>
      <c r="E20" s="8">
        <f t="shared" si="5"/>
        <v>3.02</v>
      </c>
      <c r="F20" s="8">
        <f t="shared" si="6"/>
        <v>3.0825</v>
      </c>
      <c r="G20" s="8">
        <f t="shared" si="7"/>
        <v>1.4</v>
      </c>
      <c r="H20" s="8">
        <f t="shared" si="8"/>
        <v>1.4624999999999999</v>
      </c>
      <c r="I20" s="8">
        <f t="shared" si="9"/>
        <v>1.79</v>
      </c>
      <c r="J20" s="9"/>
      <c r="K20" s="9"/>
      <c r="L20" s="9">
        <v>1.4</v>
      </c>
      <c r="M20" s="9">
        <v>1.79</v>
      </c>
      <c r="N20" s="1"/>
      <c r="O20" s="1"/>
    </row>
    <row r="21" spans="1:15" x14ac:dyDescent="0.3">
      <c r="A21" s="12">
        <v>18</v>
      </c>
      <c r="B21" s="8"/>
      <c r="C21" s="8"/>
      <c r="D21" s="8" t="s">
        <v>17</v>
      </c>
      <c r="E21" s="8">
        <f t="shared" si="5"/>
        <v>5.0199999999999996</v>
      </c>
      <c r="F21" s="8">
        <f t="shared" si="6"/>
        <v>5.0824999999999996</v>
      </c>
      <c r="G21" s="8">
        <f t="shared" si="7"/>
        <v>3.4</v>
      </c>
      <c r="H21" s="8">
        <f t="shared" si="8"/>
        <v>3.4624999999999999</v>
      </c>
      <c r="I21" s="8">
        <f t="shared" si="9"/>
        <v>2.6</v>
      </c>
      <c r="J21" s="9"/>
      <c r="K21" s="9"/>
      <c r="L21" s="9">
        <v>3.4</v>
      </c>
      <c r="M21" s="9">
        <v>2.6</v>
      </c>
      <c r="N21" s="1"/>
      <c r="O21" s="1"/>
    </row>
    <row r="22" spans="1:15" x14ac:dyDescent="0.3">
      <c r="A22" s="12">
        <v>19</v>
      </c>
      <c r="B22" s="8" t="s">
        <v>7</v>
      </c>
      <c r="C22" s="8"/>
      <c r="D22" s="8" t="s">
        <v>25</v>
      </c>
      <c r="E22" s="8">
        <f t="shared" si="5"/>
        <v>2.0762499999999999</v>
      </c>
      <c r="F22" s="8">
        <f t="shared" si="6"/>
        <v>2.1387499999999999</v>
      </c>
      <c r="G22" s="8">
        <f t="shared" si="7"/>
        <v>0.45624999999999999</v>
      </c>
      <c r="H22" s="8">
        <f t="shared" si="8"/>
        <v>0.51875000000000004</v>
      </c>
      <c r="I22" s="8">
        <f t="shared" si="9"/>
        <v>0.95250000000000001</v>
      </c>
      <c r="J22" s="9">
        <v>0.1875</v>
      </c>
      <c r="K22" s="9"/>
      <c r="L22" s="9">
        <v>0.26874999999999999</v>
      </c>
      <c r="M22" s="9">
        <v>0.76500000000000001</v>
      </c>
      <c r="N22" s="1"/>
      <c r="O22" s="1"/>
    </row>
    <row r="23" spans="1:15" x14ac:dyDescent="0.3">
      <c r="A23" s="12">
        <v>20</v>
      </c>
      <c r="B23" s="8" t="s">
        <v>7</v>
      </c>
      <c r="C23" s="8"/>
      <c r="D23" s="8" t="s">
        <v>26</v>
      </c>
      <c r="E23" s="8">
        <f t="shared" si="5"/>
        <v>2.3200000000000003</v>
      </c>
      <c r="F23" s="8">
        <f t="shared" si="6"/>
        <v>2.3825000000000003</v>
      </c>
      <c r="G23" s="8">
        <f t="shared" si="7"/>
        <v>0.7</v>
      </c>
      <c r="H23" s="8">
        <f t="shared" si="8"/>
        <v>0.76249999999999996</v>
      </c>
      <c r="I23" s="8">
        <f t="shared" si="9"/>
        <v>1.6125</v>
      </c>
      <c r="J23" s="9">
        <v>0.1875</v>
      </c>
      <c r="K23" s="9"/>
      <c r="L23" s="9">
        <v>0.51249999999999996</v>
      </c>
      <c r="M23" s="9">
        <v>1.425</v>
      </c>
      <c r="N23" s="1"/>
      <c r="O23" s="1"/>
    </row>
    <row r="24" spans="1:15" x14ac:dyDescent="0.3">
      <c r="A24" s="12">
        <v>21</v>
      </c>
      <c r="B24" s="8" t="s">
        <v>7</v>
      </c>
      <c r="D24" s="4" t="s">
        <v>59</v>
      </c>
      <c r="E24" s="8">
        <f t="shared" ref="E24" si="10">SUM(J24:L24)+1.62</f>
        <v>2.3450000000000002</v>
      </c>
      <c r="F24" s="8">
        <f t="shared" ref="F24" si="11">SUM(J24:L24)+0.0625+1.62</f>
        <v>2.4075000000000002</v>
      </c>
      <c r="G24" s="8">
        <f t="shared" ref="G24" si="12">SUM(J24:L24)</f>
        <v>0.72499999999999998</v>
      </c>
      <c r="H24" s="8">
        <f t="shared" ref="H24" si="13">SUM(J24:L24)+0.0625</f>
        <v>0.78749999999999998</v>
      </c>
      <c r="I24" s="8">
        <f t="shared" ref="I24" si="14">SUM(J24:K24)+M24</f>
        <v>0.46260000000000001</v>
      </c>
      <c r="J24" s="9">
        <v>0.1875</v>
      </c>
      <c r="K24" s="9"/>
      <c r="L24" s="9">
        <v>0.53749999999999998</v>
      </c>
      <c r="M24" s="9">
        <v>0.27510000000000001</v>
      </c>
      <c r="N24" s="1"/>
      <c r="O24" s="1"/>
    </row>
    <row r="25" spans="1:15" x14ac:dyDescent="0.3">
      <c r="A25" s="12">
        <v>21</v>
      </c>
      <c r="B25" s="8" t="s">
        <v>7</v>
      </c>
      <c r="C25" s="8"/>
      <c r="D25" s="8" t="s">
        <v>12</v>
      </c>
      <c r="E25" s="8">
        <f t="shared" si="5"/>
        <v>2.42</v>
      </c>
      <c r="F25" s="8">
        <f t="shared" si="6"/>
        <v>2.4824999999999999</v>
      </c>
      <c r="G25" s="8">
        <f t="shared" si="7"/>
        <v>0.8</v>
      </c>
      <c r="H25" s="8">
        <f t="shared" si="8"/>
        <v>0.86250000000000004</v>
      </c>
      <c r="I25" s="8">
        <f t="shared" si="9"/>
        <v>1.7075</v>
      </c>
      <c r="J25" s="9">
        <v>0.1875</v>
      </c>
      <c r="K25" s="9"/>
      <c r="L25" s="9">
        <v>0.61250000000000004</v>
      </c>
      <c r="M25" s="9">
        <v>1.52</v>
      </c>
      <c r="N25" s="1"/>
      <c r="O25" s="1"/>
    </row>
    <row r="26" spans="1:15" x14ac:dyDescent="0.3">
      <c r="A26" s="12">
        <v>22</v>
      </c>
      <c r="B26" s="8" t="s">
        <v>7</v>
      </c>
      <c r="C26" s="8"/>
      <c r="D26" s="8" t="s">
        <v>58</v>
      </c>
      <c r="E26" s="8">
        <f t="shared" si="5"/>
        <v>2.5262500000000001</v>
      </c>
      <c r="F26" s="8">
        <f t="shared" si="6"/>
        <v>2.5887500000000001</v>
      </c>
      <c r="G26" s="8">
        <f t="shared" si="7"/>
        <v>0.90625</v>
      </c>
      <c r="H26" s="8">
        <f t="shared" si="8"/>
        <v>0.96875</v>
      </c>
      <c r="I26" s="8">
        <f t="shared" si="9"/>
        <v>1.7075</v>
      </c>
      <c r="J26" s="9">
        <v>0.1875</v>
      </c>
      <c r="K26" s="9"/>
      <c r="L26" s="9">
        <v>0.71875</v>
      </c>
      <c r="M26" s="9">
        <v>1.52</v>
      </c>
      <c r="N26" s="1"/>
      <c r="O26" s="1"/>
    </row>
    <row r="27" spans="1:15" x14ac:dyDescent="0.3">
      <c r="A27" s="12">
        <v>23</v>
      </c>
      <c r="B27" s="8" t="s">
        <v>7</v>
      </c>
      <c r="C27" s="8"/>
      <c r="D27" s="8" t="s">
        <v>14</v>
      </c>
      <c r="E27" s="8">
        <f t="shared" si="5"/>
        <v>2.5775000000000001</v>
      </c>
      <c r="F27" s="8">
        <f t="shared" si="6"/>
        <v>2.64</v>
      </c>
      <c r="G27" s="8">
        <f t="shared" si="7"/>
        <v>0.95750000000000002</v>
      </c>
      <c r="H27" s="8">
        <f t="shared" si="8"/>
        <v>1.02</v>
      </c>
      <c r="I27" s="8">
        <f t="shared" si="9"/>
        <v>1.964</v>
      </c>
      <c r="J27" s="9">
        <v>0.1875</v>
      </c>
      <c r="K27" s="9"/>
      <c r="L27" s="9">
        <v>0.77</v>
      </c>
      <c r="M27" s="9">
        <v>1.7765</v>
      </c>
      <c r="N27" s="1"/>
      <c r="O27" s="1"/>
    </row>
    <row r="28" spans="1:15" x14ac:dyDescent="0.3">
      <c r="A28" s="12">
        <v>24</v>
      </c>
      <c r="B28" s="8" t="s">
        <v>7</v>
      </c>
      <c r="C28" s="8"/>
      <c r="D28" s="8" t="s">
        <v>27</v>
      </c>
      <c r="E28" s="8">
        <f t="shared" si="5"/>
        <v>2.6512500000000001</v>
      </c>
      <c r="F28" s="8">
        <f t="shared" si="6"/>
        <v>2.7137500000000001</v>
      </c>
      <c r="G28" s="8">
        <f t="shared" si="7"/>
        <v>1.03125</v>
      </c>
      <c r="H28" s="8">
        <f t="shared" si="8"/>
        <v>1.09375</v>
      </c>
      <c r="I28" s="8">
        <f t="shared" si="9"/>
        <v>1.7075</v>
      </c>
      <c r="J28" s="9">
        <v>0.1875</v>
      </c>
      <c r="K28" s="9"/>
      <c r="L28" s="9">
        <v>0.84375</v>
      </c>
      <c r="M28" s="9">
        <v>1.52</v>
      </c>
      <c r="N28" s="1"/>
      <c r="O28" s="1"/>
    </row>
    <row r="29" spans="1:15" x14ac:dyDescent="0.3">
      <c r="A29" s="12">
        <v>25</v>
      </c>
      <c r="B29" s="8" t="s">
        <v>7</v>
      </c>
      <c r="C29" s="8"/>
      <c r="D29" s="8" t="s">
        <v>15</v>
      </c>
      <c r="E29" s="8">
        <f t="shared" si="5"/>
        <v>2.9075000000000002</v>
      </c>
      <c r="F29" s="8">
        <f t="shared" si="6"/>
        <v>2.97</v>
      </c>
      <c r="G29" s="8">
        <f t="shared" si="7"/>
        <v>1.2875000000000001</v>
      </c>
      <c r="H29" s="8">
        <f t="shared" si="8"/>
        <v>1.35</v>
      </c>
      <c r="I29" s="8">
        <f t="shared" si="9"/>
        <v>1.6325000000000001</v>
      </c>
      <c r="J29" s="9">
        <v>0.1875</v>
      </c>
      <c r="K29" s="9"/>
      <c r="L29" s="9">
        <v>1.1000000000000001</v>
      </c>
      <c r="M29" s="9">
        <v>1.4450000000000001</v>
      </c>
      <c r="N29" s="1"/>
      <c r="O29" s="1"/>
    </row>
    <row r="30" spans="1:15" x14ac:dyDescent="0.3">
      <c r="A30" s="12">
        <v>26</v>
      </c>
      <c r="B30" s="8" t="s">
        <v>7</v>
      </c>
      <c r="C30" s="8"/>
      <c r="D30" s="8" t="s">
        <v>16</v>
      </c>
      <c r="E30" s="8">
        <f t="shared" si="5"/>
        <v>4.6074999999999999</v>
      </c>
      <c r="F30" s="8">
        <f t="shared" si="6"/>
        <v>4.67</v>
      </c>
      <c r="G30" s="8">
        <f t="shared" si="7"/>
        <v>2.9874999999999998</v>
      </c>
      <c r="H30" s="8">
        <f t="shared" si="8"/>
        <v>3.05</v>
      </c>
      <c r="I30" s="8">
        <f t="shared" si="9"/>
        <v>1.6325000000000001</v>
      </c>
      <c r="J30" s="9">
        <v>0.1875</v>
      </c>
      <c r="K30" s="9"/>
      <c r="L30" s="9">
        <v>2.8</v>
      </c>
      <c r="M30" s="9">
        <v>1.4450000000000001</v>
      </c>
      <c r="N30" s="1"/>
      <c r="O30" s="1"/>
    </row>
    <row r="31" spans="1:15" x14ac:dyDescent="0.3">
      <c r="A31" s="12">
        <v>27</v>
      </c>
      <c r="B31" s="8" t="s">
        <v>7</v>
      </c>
      <c r="C31" s="8"/>
      <c r="D31" s="8" t="s">
        <v>61</v>
      </c>
      <c r="E31" s="8">
        <f t="shared" si="5"/>
        <v>1.9775</v>
      </c>
      <c r="F31" s="8">
        <f t="shared" si="6"/>
        <v>2.04</v>
      </c>
      <c r="G31" s="8">
        <f t="shared" si="7"/>
        <v>0.35750000000000004</v>
      </c>
      <c r="H31" s="8">
        <f t="shared" si="8"/>
        <v>0.42000000000000004</v>
      </c>
      <c r="I31" s="8">
        <f t="shared" si="9"/>
        <v>1.2324999999999999</v>
      </c>
      <c r="J31" s="9">
        <v>0.1875</v>
      </c>
      <c r="K31" s="9"/>
      <c r="L31" s="9">
        <v>0.17</v>
      </c>
      <c r="M31" s="9">
        <v>1.0449999999999999</v>
      </c>
      <c r="N31" s="1"/>
      <c r="O31" s="1"/>
    </row>
    <row r="32" spans="1:15" x14ac:dyDescent="0.3">
      <c r="A32" s="12">
        <v>28</v>
      </c>
      <c r="B32" s="8" t="s">
        <v>7</v>
      </c>
      <c r="C32" s="8"/>
      <c r="D32" s="8" t="s">
        <v>62</v>
      </c>
      <c r="E32" s="8">
        <f t="shared" si="5"/>
        <v>3.2075</v>
      </c>
      <c r="F32" s="8">
        <f t="shared" si="6"/>
        <v>3.27</v>
      </c>
      <c r="G32" s="8">
        <f t="shared" si="7"/>
        <v>1.5874999999999999</v>
      </c>
      <c r="H32" s="8">
        <f t="shared" si="8"/>
        <v>1.65</v>
      </c>
      <c r="I32" s="8">
        <f t="shared" si="9"/>
        <v>2.4624999999999999</v>
      </c>
      <c r="J32" s="9">
        <v>0.1875</v>
      </c>
      <c r="K32" s="9"/>
      <c r="L32" s="9">
        <v>1.4</v>
      </c>
      <c r="M32" s="9">
        <v>2.2749999999999999</v>
      </c>
      <c r="N32" s="1"/>
      <c r="O32" s="1"/>
    </row>
    <row r="33" spans="1:15" x14ac:dyDescent="0.3">
      <c r="A33" s="12">
        <v>29</v>
      </c>
      <c r="B33" s="8" t="s">
        <v>7</v>
      </c>
      <c r="C33" s="8"/>
      <c r="D33" s="8" t="s">
        <v>56</v>
      </c>
      <c r="E33" s="8">
        <f t="shared" si="5"/>
        <v>2.5700000000000003</v>
      </c>
      <c r="F33" s="8">
        <f t="shared" si="6"/>
        <v>2.6325000000000003</v>
      </c>
      <c r="G33" s="8">
        <f t="shared" si="7"/>
        <v>0.95</v>
      </c>
      <c r="H33" s="8">
        <f t="shared" si="8"/>
        <v>1.0125</v>
      </c>
      <c r="I33" s="8">
        <f t="shared" si="9"/>
        <v>1.34</v>
      </c>
      <c r="J33" s="9">
        <v>-0.45</v>
      </c>
      <c r="K33" s="9"/>
      <c r="L33" s="9">
        <v>1.4</v>
      </c>
      <c r="M33" s="9">
        <v>1.79</v>
      </c>
      <c r="N33" s="1"/>
      <c r="O33" s="1"/>
    </row>
    <row r="34" spans="1:15" x14ac:dyDescent="0.3">
      <c r="A34" s="12">
        <v>30</v>
      </c>
      <c r="B34" s="8" t="s">
        <v>7</v>
      </c>
      <c r="C34" s="8"/>
      <c r="D34" s="8" t="s">
        <v>17</v>
      </c>
      <c r="E34" s="8">
        <f t="shared" si="5"/>
        <v>5.7075000000000005</v>
      </c>
      <c r="F34" s="8">
        <f t="shared" si="6"/>
        <v>5.7700000000000005</v>
      </c>
      <c r="G34" s="8">
        <f t="shared" si="7"/>
        <v>4.0875000000000004</v>
      </c>
      <c r="H34" s="8">
        <f t="shared" si="8"/>
        <v>4.1500000000000004</v>
      </c>
      <c r="I34" s="8">
        <f t="shared" si="9"/>
        <v>3.2875000000000001</v>
      </c>
      <c r="J34" s="9">
        <v>0.6875</v>
      </c>
      <c r="K34" s="9"/>
      <c r="L34" s="9">
        <v>3.4</v>
      </c>
      <c r="M34" s="9">
        <v>2.6</v>
      </c>
      <c r="N34" s="1"/>
      <c r="O34" s="1"/>
    </row>
    <row r="35" spans="1:15" x14ac:dyDescent="0.3">
      <c r="A35" s="12">
        <v>31</v>
      </c>
      <c r="B35" s="8"/>
      <c r="C35" s="8" t="s">
        <v>11</v>
      </c>
      <c r="D35" s="8" t="s">
        <v>25</v>
      </c>
      <c r="E35" s="8">
        <f t="shared" si="5"/>
        <v>2.0762499999999999</v>
      </c>
      <c r="F35" s="8">
        <f t="shared" si="6"/>
        <v>2.1387499999999999</v>
      </c>
      <c r="G35" s="8">
        <f t="shared" si="7"/>
        <v>0.45624999999999999</v>
      </c>
      <c r="H35" s="8">
        <f t="shared" si="8"/>
        <v>0.51875000000000004</v>
      </c>
      <c r="I35" s="8">
        <f t="shared" si="9"/>
        <v>0.95250000000000001</v>
      </c>
      <c r="J35" s="9"/>
      <c r="K35" s="9">
        <v>0.1875</v>
      </c>
      <c r="L35" s="9">
        <v>0.26874999999999999</v>
      </c>
      <c r="M35" s="9">
        <v>0.76500000000000001</v>
      </c>
      <c r="N35" s="1"/>
      <c r="O35" s="1"/>
    </row>
    <row r="36" spans="1:15" x14ac:dyDescent="0.3">
      <c r="A36" s="12">
        <v>32</v>
      </c>
      <c r="B36" s="8"/>
      <c r="C36" s="8" t="s">
        <v>11</v>
      </c>
      <c r="D36" s="8" t="s">
        <v>14</v>
      </c>
      <c r="E36" s="8">
        <f t="shared" si="5"/>
        <v>2.5775000000000001</v>
      </c>
      <c r="F36" s="8">
        <f t="shared" si="6"/>
        <v>2.64</v>
      </c>
      <c r="G36" s="8">
        <f t="shared" si="7"/>
        <v>0.95750000000000002</v>
      </c>
      <c r="H36" s="8">
        <f t="shared" si="8"/>
        <v>1.02</v>
      </c>
      <c r="I36" s="8">
        <f t="shared" si="9"/>
        <v>1.964</v>
      </c>
      <c r="J36" s="9"/>
      <c r="K36" s="9">
        <v>0.1875</v>
      </c>
      <c r="L36" s="9">
        <v>0.77</v>
      </c>
      <c r="M36" s="9">
        <v>1.7765</v>
      </c>
      <c r="N36" s="1"/>
      <c r="O36" s="1"/>
    </row>
    <row r="37" spans="1:15" x14ac:dyDescent="0.3">
      <c r="A37" s="12">
        <v>33</v>
      </c>
      <c r="B37" s="8"/>
      <c r="C37" s="8" t="s">
        <v>11</v>
      </c>
      <c r="D37" s="8" t="s">
        <v>56</v>
      </c>
      <c r="E37" s="8">
        <f t="shared" si="5"/>
        <v>2.5075000000000003</v>
      </c>
      <c r="F37" s="8">
        <f t="shared" si="6"/>
        <v>2.5700000000000003</v>
      </c>
      <c r="G37" s="8">
        <f t="shared" si="7"/>
        <v>0.88749999999999996</v>
      </c>
      <c r="H37" s="8">
        <f t="shared" si="8"/>
        <v>0.95</v>
      </c>
      <c r="I37" s="8">
        <f t="shared" si="9"/>
        <v>1.2775000000000001</v>
      </c>
      <c r="J37" s="9"/>
      <c r="K37" s="9">
        <v>-0.51249999999999996</v>
      </c>
      <c r="L37" s="9">
        <v>1.4</v>
      </c>
      <c r="M37" s="9">
        <v>1.79</v>
      </c>
      <c r="N37" s="1"/>
      <c r="O37" s="1"/>
    </row>
    <row r="38" spans="1:15" x14ac:dyDescent="0.3">
      <c r="A38" s="12">
        <v>34</v>
      </c>
      <c r="B38" s="8"/>
      <c r="C38" s="8" t="s">
        <v>11</v>
      </c>
      <c r="D38" s="8" t="s">
        <v>15</v>
      </c>
      <c r="E38" s="8">
        <f t="shared" si="5"/>
        <v>2.9075000000000002</v>
      </c>
      <c r="F38" s="8">
        <f t="shared" si="6"/>
        <v>2.97</v>
      </c>
      <c r="G38" s="8">
        <f t="shared" si="7"/>
        <v>1.2875000000000001</v>
      </c>
      <c r="H38" s="8">
        <f t="shared" si="8"/>
        <v>1.35</v>
      </c>
      <c r="I38" s="8">
        <f t="shared" si="9"/>
        <v>1.6325000000000001</v>
      </c>
      <c r="J38" s="9"/>
      <c r="K38" s="9">
        <v>0.1875</v>
      </c>
      <c r="L38" s="9">
        <v>1.1000000000000001</v>
      </c>
      <c r="M38" s="9">
        <v>1.4450000000000001</v>
      </c>
      <c r="N38" s="1"/>
      <c r="O38" s="1"/>
    </row>
    <row r="39" spans="1:15" x14ac:dyDescent="0.3">
      <c r="A39" s="12">
        <v>35</v>
      </c>
      <c r="B39" s="8"/>
      <c r="C39" s="8" t="s">
        <v>11</v>
      </c>
      <c r="D39" s="8" t="s">
        <v>16</v>
      </c>
      <c r="E39" s="8">
        <f t="shared" si="5"/>
        <v>4.6074999999999999</v>
      </c>
      <c r="F39" s="8">
        <f t="shared" si="6"/>
        <v>4.67</v>
      </c>
      <c r="G39" s="8">
        <f t="shared" si="7"/>
        <v>2.9874999999999998</v>
      </c>
      <c r="H39" s="8">
        <f t="shared" si="8"/>
        <v>3.05</v>
      </c>
      <c r="I39" s="8">
        <f t="shared" si="9"/>
        <v>1.6325000000000001</v>
      </c>
      <c r="J39" s="9"/>
      <c r="K39" s="9">
        <v>0.1875</v>
      </c>
      <c r="L39" s="9">
        <v>2.8</v>
      </c>
      <c r="M39" s="9">
        <v>1.4450000000000001</v>
      </c>
      <c r="N39" s="1"/>
      <c r="O39" s="1"/>
    </row>
    <row r="40" spans="1:15" x14ac:dyDescent="0.3">
      <c r="A40" s="12">
        <v>36</v>
      </c>
      <c r="B40" s="8"/>
      <c r="C40" s="8" t="s">
        <v>57</v>
      </c>
      <c r="D40" s="8" t="s">
        <v>25</v>
      </c>
      <c r="E40" s="8">
        <f t="shared" si="5"/>
        <v>2.3887499999999999</v>
      </c>
      <c r="F40" s="8">
        <f t="shared" si="6"/>
        <v>2.4512499999999999</v>
      </c>
      <c r="G40" s="8">
        <f t="shared" si="7"/>
        <v>0.76875000000000004</v>
      </c>
      <c r="H40" s="8">
        <f t="shared" si="8"/>
        <v>0.83125000000000004</v>
      </c>
      <c r="I40" s="8">
        <f t="shared" si="9"/>
        <v>1.2650000000000001</v>
      </c>
      <c r="J40" s="9"/>
      <c r="K40" s="9">
        <v>0.5</v>
      </c>
      <c r="L40" s="9">
        <v>0.26874999999999999</v>
      </c>
      <c r="M40" s="9">
        <v>0.76500000000000001</v>
      </c>
    </row>
    <row r="41" spans="1:15" x14ac:dyDescent="0.3">
      <c r="A41" s="12">
        <v>37</v>
      </c>
      <c r="B41" s="8"/>
      <c r="C41" s="8" t="s">
        <v>57</v>
      </c>
      <c r="D41" s="8" t="s">
        <v>14</v>
      </c>
      <c r="E41" s="8">
        <f t="shared" si="5"/>
        <v>2.89</v>
      </c>
      <c r="F41" s="8">
        <f t="shared" si="6"/>
        <v>2.9525000000000001</v>
      </c>
      <c r="G41" s="8">
        <f t="shared" si="7"/>
        <v>1.27</v>
      </c>
      <c r="H41" s="8">
        <f t="shared" si="8"/>
        <v>1.3325</v>
      </c>
      <c r="I41" s="8">
        <f t="shared" si="9"/>
        <v>2.2765</v>
      </c>
      <c r="J41" s="9"/>
      <c r="K41" s="9">
        <v>0.5</v>
      </c>
      <c r="L41" s="9">
        <v>0.77</v>
      </c>
      <c r="M41" s="9">
        <v>1.7765</v>
      </c>
    </row>
    <row r="42" spans="1:15" x14ac:dyDescent="0.3">
      <c r="A42" s="12">
        <v>38</v>
      </c>
      <c r="B42" s="8"/>
      <c r="C42" s="8" t="s">
        <v>57</v>
      </c>
      <c r="D42" s="8" t="s">
        <v>56</v>
      </c>
      <c r="E42" s="8">
        <f t="shared" si="5"/>
        <v>2.8200000000000003</v>
      </c>
      <c r="F42" s="8">
        <f t="shared" si="6"/>
        <v>2.8825000000000003</v>
      </c>
      <c r="G42" s="8">
        <f t="shared" si="7"/>
        <v>1.2</v>
      </c>
      <c r="H42" s="8">
        <f t="shared" si="8"/>
        <v>1.2625</v>
      </c>
      <c r="I42" s="8">
        <f t="shared" si="9"/>
        <v>1.59</v>
      </c>
      <c r="J42" s="9"/>
      <c r="K42" s="9">
        <v>-0.2</v>
      </c>
      <c r="L42" s="9">
        <v>1.4</v>
      </c>
      <c r="M42" s="9">
        <v>1.79</v>
      </c>
    </row>
    <row r="43" spans="1:15" x14ac:dyDescent="0.3">
      <c r="A43" s="12">
        <v>39</v>
      </c>
      <c r="B43" s="8"/>
      <c r="C43" s="8" t="s">
        <v>57</v>
      </c>
      <c r="D43" s="8" t="s">
        <v>15</v>
      </c>
      <c r="E43" s="8">
        <f t="shared" si="5"/>
        <v>3.22</v>
      </c>
      <c r="F43" s="8">
        <f t="shared" si="6"/>
        <v>3.2825000000000002</v>
      </c>
      <c r="G43" s="8">
        <f t="shared" si="7"/>
        <v>1.6</v>
      </c>
      <c r="H43" s="8">
        <f t="shared" si="8"/>
        <v>1.6625000000000001</v>
      </c>
      <c r="I43" s="8">
        <f t="shared" si="9"/>
        <v>1.9450000000000001</v>
      </c>
      <c r="J43" s="9"/>
      <c r="K43" s="9">
        <v>0.5</v>
      </c>
      <c r="L43" s="9">
        <v>1.1000000000000001</v>
      </c>
      <c r="M43" s="9">
        <v>1.4450000000000001</v>
      </c>
    </row>
    <row r="44" spans="1:15" x14ac:dyDescent="0.3">
      <c r="A44" s="12">
        <v>40</v>
      </c>
      <c r="B44" s="8"/>
      <c r="C44" s="8" t="s">
        <v>57</v>
      </c>
      <c r="D44" s="8" t="s">
        <v>16</v>
      </c>
      <c r="E44" s="8">
        <f t="shared" si="5"/>
        <v>4.92</v>
      </c>
      <c r="F44" s="8">
        <f t="shared" si="6"/>
        <v>4.9824999999999999</v>
      </c>
      <c r="G44" s="8">
        <f t="shared" si="7"/>
        <v>3.3</v>
      </c>
      <c r="H44" s="8">
        <f t="shared" si="8"/>
        <v>3.3624999999999998</v>
      </c>
      <c r="I44" s="8">
        <f t="shared" si="9"/>
        <v>1.9450000000000001</v>
      </c>
      <c r="J44" s="9"/>
      <c r="K44" s="9">
        <v>0.5</v>
      </c>
      <c r="L44" s="9">
        <v>2.8</v>
      </c>
      <c r="M44" s="9">
        <v>1.4450000000000001</v>
      </c>
    </row>
    <row r="45" spans="1:15" x14ac:dyDescent="0.3">
      <c r="A45" s="12">
        <v>41</v>
      </c>
      <c r="B45" s="8" t="s">
        <v>7</v>
      </c>
      <c r="C45" s="8" t="s">
        <v>11</v>
      </c>
      <c r="D45" s="8" t="s">
        <v>25</v>
      </c>
      <c r="E45" s="8">
        <f t="shared" si="5"/>
        <v>2.2637499999999999</v>
      </c>
      <c r="F45" s="8">
        <f t="shared" si="6"/>
        <v>2.3262499999999999</v>
      </c>
      <c r="G45" s="8">
        <f t="shared" si="7"/>
        <v>0.64375000000000004</v>
      </c>
      <c r="H45" s="8">
        <f t="shared" si="8"/>
        <v>0.70625000000000004</v>
      </c>
      <c r="I45" s="8">
        <f t="shared" si="9"/>
        <v>1.1400000000000001</v>
      </c>
      <c r="J45" s="9">
        <v>0.1875</v>
      </c>
      <c r="K45" s="9">
        <v>0.1875</v>
      </c>
      <c r="L45" s="9">
        <v>0.26874999999999999</v>
      </c>
      <c r="M45" s="9">
        <v>0.76500000000000001</v>
      </c>
    </row>
    <row r="46" spans="1:15" x14ac:dyDescent="0.3">
      <c r="A46" s="12">
        <v>42</v>
      </c>
      <c r="B46" s="8" t="s">
        <v>7</v>
      </c>
      <c r="C46" s="8" t="s">
        <v>11</v>
      </c>
      <c r="D46" s="8" t="s">
        <v>14</v>
      </c>
      <c r="E46" s="8">
        <f t="shared" si="5"/>
        <v>2.7650000000000001</v>
      </c>
      <c r="F46" s="8">
        <f t="shared" si="6"/>
        <v>2.8275000000000001</v>
      </c>
      <c r="G46" s="8">
        <f t="shared" si="7"/>
        <v>1.145</v>
      </c>
      <c r="H46" s="8">
        <f t="shared" si="8"/>
        <v>1.2075</v>
      </c>
      <c r="I46" s="8">
        <f t="shared" si="9"/>
        <v>2.1515</v>
      </c>
      <c r="J46" s="9">
        <v>0.1875</v>
      </c>
      <c r="K46" s="9">
        <v>0.1875</v>
      </c>
      <c r="L46" s="9">
        <v>0.77</v>
      </c>
      <c r="M46" s="9">
        <v>1.7765</v>
      </c>
    </row>
    <row r="47" spans="1:15" x14ac:dyDescent="0.3">
      <c r="A47" s="12">
        <v>43</v>
      </c>
      <c r="B47" s="8" t="s">
        <v>7</v>
      </c>
      <c r="C47" s="8" t="s">
        <v>11</v>
      </c>
      <c r="D47" s="8" t="s">
        <v>56</v>
      </c>
      <c r="E47" s="8">
        <f t="shared" si="5"/>
        <v>2.6950000000000003</v>
      </c>
      <c r="F47" s="8">
        <f t="shared" si="6"/>
        <v>2.7575000000000003</v>
      </c>
      <c r="G47" s="8">
        <f t="shared" si="7"/>
        <v>1.075</v>
      </c>
      <c r="H47" s="8">
        <f t="shared" si="8"/>
        <v>1.1375</v>
      </c>
      <c r="I47" s="8">
        <f t="shared" si="9"/>
        <v>1.4650000000000001</v>
      </c>
      <c r="J47" s="9">
        <v>0.1875</v>
      </c>
      <c r="K47" s="9">
        <v>-0.51249999999999996</v>
      </c>
      <c r="L47" s="9">
        <v>1.4</v>
      </c>
      <c r="M47" s="9">
        <v>1.79</v>
      </c>
    </row>
    <row r="48" spans="1:15" x14ac:dyDescent="0.3">
      <c r="A48" s="12">
        <v>44</v>
      </c>
      <c r="B48" s="8" t="s">
        <v>7</v>
      </c>
      <c r="C48" s="8" t="s">
        <v>11</v>
      </c>
      <c r="D48" s="8" t="s">
        <v>15</v>
      </c>
      <c r="E48" s="8">
        <f t="shared" si="5"/>
        <v>3.0950000000000002</v>
      </c>
      <c r="F48" s="8">
        <f t="shared" si="6"/>
        <v>3.1575000000000002</v>
      </c>
      <c r="G48" s="8">
        <f t="shared" si="7"/>
        <v>1.4750000000000001</v>
      </c>
      <c r="H48" s="8">
        <f t="shared" si="8"/>
        <v>1.5375000000000001</v>
      </c>
      <c r="I48" s="8">
        <f t="shared" si="9"/>
        <v>1.82</v>
      </c>
      <c r="J48" s="9">
        <v>0.1875</v>
      </c>
      <c r="K48" s="9">
        <v>0.1875</v>
      </c>
      <c r="L48" s="9">
        <v>1.1000000000000001</v>
      </c>
      <c r="M48" s="9">
        <v>1.4450000000000001</v>
      </c>
    </row>
    <row r="49" spans="1:13" x14ac:dyDescent="0.3">
      <c r="A49" s="12">
        <v>45</v>
      </c>
      <c r="B49" s="8" t="s">
        <v>7</v>
      </c>
      <c r="C49" s="8" t="s">
        <v>11</v>
      </c>
      <c r="D49" s="8" t="s">
        <v>16</v>
      </c>
      <c r="E49" s="8">
        <f t="shared" si="5"/>
        <v>4.7949999999999999</v>
      </c>
      <c r="F49" s="8">
        <f t="shared" si="6"/>
        <v>4.8574999999999999</v>
      </c>
      <c r="G49" s="8">
        <f t="shared" si="7"/>
        <v>3.1749999999999998</v>
      </c>
      <c r="H49" s="8">
        <f t="shared" si="8"/>
        <v>3.2374999999999998</v>
      </c>
      <c r="J49" s="9">
        <v>0.1875</v>
      </c>
      <c r="K49" s="9">
        <v>0.1875</v>
      </c>
      <c r="L49" s="9">
        <v>2.8</v>
      </c>
      <c r="M49" s="9">
        <v>1.4450000000000001</v>
      </c>
    </row>
    <row r="50" spans="1:13" x14ac:dyDescent="0.3">
      <c r="A50" s="12">
        <v>46</v>
      </c>
      <c r="B50" s="8" t="s">
        <v>7</v>
      </c>
      <c r="C50" s="8" t="s">
        <v>57</v>
      </c>
      <c r="D50" s="8" t="s">
        <v>25</v>
      </c>
      <c r="E50" s="8">
        <f t="shared" si="5"/>
        <v>2.5762499999999999</v>
      </c>
      <c r="F50" s="8">
        <f t="shared" si="6"/>
        <v>2.6387499999999999</v>
      </c>
      <c r="G50" s="8">
        <f t="shared" si="7"/>
        <v>0.95625000000000004</v>
      </c>
      <c r="H50" s="8">
        <f t="shared" si="8"/>
        <v>1.01875</v>
      </c>
      <c r="J50" s="9">
        <v>0.1875</v>
      </c>
      <c r="K50" s="9">
        <v>0.5</v>
      </c>
      <c r="L50" s="9">
        <v>0.26874999999999999</v>
      </c>
      <c r="M50" s="9">
        <v>0.76500000000000001</v>
      </c>
    </row>
    <row r="51" spans="1:13" x14ac:dyDescent="0.3">
      <c r="A51" s="12">
        <v>47</v>
      </c>
      <c r="B51" s="8" t="s">
        <v>7</v>
      </c>
      <c r="C51" s="8" t="s">
        <v>57</v>
      </c>
      <c r="D51" s="8" t="s">
        <v>14</v>
      </c>
      <c r="E51" s="8">
        <f t="shared" si="5"/>
        <v>3.0775000000000001</v>
      </c>
      <c r="F51" s="8">
        <f t="shared" si="6"/>
        <v>3.14</v>
      </c>
      <c r="G51" s="8">
        <f t="shared" si="7"/>
        <v>1.4575</v>
      </c>
      <c r="H51" s="8">
        <f t="shared" si="8"/>
        <v>1.52</v>
      </c>
      <c r="J51" s="9">
        <v>0.1875</v>
      </c>
      <c r="K51" s="9">
        <v>0.5</v>
      </c>
      <c r="L51" s="9">
        <v>0.77</v>
      </c>
      <c r="M51" s="9">
        <v>1.7765</v>
      </c>
    </row>
    <row r="52" spans="1:13" x14ac:dyDescent="0.3">
      <c r="A52" s="12">
        <v>48</v>
      </c>
      <c r="B52" s="8" t="s">
        <v>7</v>
      </c>
      <c r="C52" s="8" t="s">
        <v>57</v>
      </c>
      <c r="D52" s="8" t="s">
        <v>56</v>
      </c>
      <c r="E52" s="8">
        <f t="shared" si="5"/>
        <v>3.0075000000000003</v>
      </c>
      <c r="F52" s="8">
        <f t="shared" si="6"/>
        <v>3.0700000000000003</v>
      </c>
      <c r="G52" s="8">
        <f t="shared" si="7"/>
        <v>1.3875</v>
      </c>
      <c r="H52" s="8">
        <f t="shared" si="8"/>
        <v>1.45</v>
      </c>
      <c r="J52" s="9">
        <v>0.1875</v>
      </c>
      <c r="K52" s="9">
        <v>-0.2</v>
      </c>
      <c r="L52" s="9">
        <v>1.4</v>
      </c>
      <c r="M52" s="9">
        <v>1.79</v>
      </c>
    </row>
    <row r="53" spans="1:13" x14ac:dyDescent="0.3">
      <c r="A53" s="12">
        <v>49</v>
      </c>
      <c r="B53" s="8" t="s">
        <v>7</v>
      </c>
      <c r="C53" s="8" t="s">
        <v>57</v>
      </c>
      <c r="D53" s="8" t="s">
        <v>15</v>
      </c>
      <c r="E53" s="8">
        <f t="shared" si="5"/>
        <v>3.4075000000000002</v>
      </c>
      <c r="F53" s="8">
        <f t="shared" si="6"/>
        <v>3.47</v>
      </c>
      <c r="G53" s="8">
        <f t="shared" si="7"/>
        <v>1.7875000000000001</v>
      </c>
      <c r="H53" s="8">
        <f t="shared" si="8"/>
        <v>1.85</v>
      </c>
      <c r="J53" s="9">
        <v>0.1875</v>
      </c>
      <c r="K53" s="9">
        <v>0.5</v>
      </c>
      <c r="L53" s="9">
        <v>1.1000000000000001</v>
      </c>
      <c r="M53" s="9">
        <v>1.4450000000000001</v>
      </c>
    </row>
    <row r="54" spans="1:13" x14ac:dyDescent="0.3">
      <c r="A54" s="12">
        <v>50</v>
      </c>
      <c r="B54" s="8" t="s">
        <v>7</v>
      </c>
      <c r="C54" s="8" t="s">
        <v>57</v>
      </c>
      <c r="D54" s="8" t="s">
        <v>16</v>
      </c>
      <c r="E54" s="8">
        <f t="shared" si="5"/>
        <v>5.1074999999999999</v>
      </c>
      <c r="F54" s="8">
        <f t="shared" si="6"/>
        <v>5.17</v>
      </c>
      <c r="G54" s="8">
        <f t="shared" si="7"/>
        <v>3.4874999999999998</v>
      </c>
      <c r="H54" s="8">
        <f t="shared" si="8"/>
        <v>3.55</v>
      </c>
      <c r="J54" s="9">
        <v>0.1875</v>
      </c>
      <c r="K54" s="9">
        <v>0.5</v>
      </c>
      <c r="L54" s="9">
        <v>2.8</v>
      </c>
      <c r="M54" s="9">
        <v>1.4450000000000001</v>
      </c>
    </row>
  </sheetData>
  <mergeCells count="3">
    <mergeCell ref="A1:D1"/>
    <mergeCell ref="J1:M1"/>
    <mergeCell ref="E1:H1"/>
  </mergeCells>
  <phoneticPr fontId="2" type="noConversion"/>
  <conditionalFormatting sqref="E3:H10 E12:H54">
    <cfRule type="expression" dxfId="11" priority="10" stopIfTrue="1">
      <formula>VALUE(E3) &lt; 2</formula>
    </cfRule>
    <cfRule type="expression" dxfId="10" priority="11" stopIfTrue="1">
      <formula>AND(VALUE(E3) &gt;= 2, VALUE(E3) &lt; 3)</formula>
    </cfRule>
    <cfRule type="expression" dxfId="9" priority="12" stopIfTrue="1">
      <formula>VALUE(E3) &gt; 3</formula>
    </cfRule>
  </conditionalFormatting>
  <conditionalFormatting sqref="E11:I11">
    <cfRule type="expression" dxfId="8" priority="4" stopIfTrue="1">
      <formula>VALUE(LEFT(E11, FIND("m", E11) - 1)) &gt;= 3</formula>
    </cfRule>
    <cfRule type="expression" dxfId="7" priority="5" stopIfTrue="1">
      <formula>AND(VALUE(LEFT(E11, FIND("m", E11) - 1)) &gt;= 2, VALUE(LEFT(E11, FIND("m", E11) - 1)) &lt; 3)</formula>
    </cfRule>
    <cfRule type="expression" dxfId="6" priority="6" stopIfTrue="1">
      <formula>VALUE(LEFT(E11, FIND("m", E11) - 1)) &lt; 2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148A8-1BF7-41DB-A699-22364F09DF02}">
  <dimension ref="A1:O44"/>
  <sheetViews>
    <sheetView workbookViewId="0">
      <pane ySplit="2" topLeftCell="A3" activePane="bottomLeft" state="frozen"/>
      <selection pane="bottomLeft" sqref="A1:D1"/>
    </sheetView>
  </sheetViews>
  <sheetFormatPr defaultColWidth="15.58203125" defaultRowHeight="14" x14ac:dyDescent="0.3"/>
  <cols>
    <col min="1" max="1" width="10.58203125" style="3" customWidth="1"/>
    <col min="2" max="4" width="15.58203125" style="1"/>
    <col min="7" max="8" width="15.58203125" style="3"/>
    <col min="9" max="9" width="15.58203125" style="1"/>
    <col min="10" max="12" width="10.58203125" style="1" customWidth="1"/>
    <col min="13" max="13" width="10.58203125" style="2" customWidth="1"/>
    <col min="14" max="15" width="15.58203125" style="2"/>
    <col min="16" max="16384" width="15.58203125" style="1"/>
  </cols>
  <sheetData>
    <row r="1" spans="1:15" x14ac:dyDescent="0.3">
      <c r="A1" s="25" t="s">
        <v>18</v>
      </c>
      <c r="B1" s="27"/>
      <c r="C1" s="27"/>
      <c r="D1" s="27"/>
      <c r="E1" s="26" t="s">
        <v>19</v>
      </c>
      <c r="F1" s="27"/>
      <c r="G1" s="27"/>
      <c r="H1" s="27"/>
      <c r="I1" s="11"/>
      <c r="J1" s="28" t="s">
        <v>20</v>
      </c>
      <c r="K1" s="27"/>
      <c r="L1" s="27"/>
      <c r="M1" s="27"/>
      <c r="N1" s="1"/>
      <c r="O1" s="1"/>
    </row>
    <row r="2" spans="1:15" s="5" customFormat="1" ht="42" x14ac:dyDescent="0.3">
      <c r="A2" s="18" t="s">
        <v>32</v>
      </c>
      <c r="B2" s="6" t="s">
        <v>7</v>
      </c>
      <c r="C2" s="6" t="s">
        <v>8</v>
      </c>
      <c r="D2" s="6" t="s">
        <v>53</v>
      </c>
      <c r="E2" s="17" t="s">
        <v>28</v>
      </c>
      <c r="F2" s="17" t="s">
        <v>29</v>
      </c>
      <c r="G2" s="18" t="s">
        <v>30</v>
      </c>
      <c r="H2" s="18" t="s">
        <v>31</v>
      </c>
      <c r="I2" s="17" t="s">
        <v>54</v>
      </c>
      <c r="J2" s="7" t="s">
        <v>7</v>
      </c>
      <c r="K2" s="7" t="s">
        <v>8</v>
      </c>
      <c r="L2" s="7" t="s">
        <v>9</v>
      </c>
      <c r="M2" s="7" t="s">
        <v>10</v>
      </c>
    </row>
    <row r="3" spans="1:15" x14ac:dyDescent="0.3">
      <c r="A3" s="12">
        <v>0</v>
      </c>
      <c r="B3" s="8"/>
      <c r="C3" s="8"/>
      <c r="D3" s="8" t="s">
        <v>24</v>
      </c>
      <c r="E3" s="8" t="str">
        <f t="shared" ref="E3" si="0">INT(SUM(J3:L3)+1.62)&amp;"m "&amp;((SUM(J3:L3)+1.62)-INT(SUM(J3:L3)+1.62))*16&amp;"px"</f>
        <v>1m 9.92px</v>
      </c>
      <c r="F3" s="8" t="str">
        <f t="shared" ref="F3" si="1">INT(SUM(J3:L3)+0.0625+1.62)&amp;"m "&amp;((SUM(J3:L3)+0.0625+1.62)-INT(SUM(J3:L3)+0.0625+1.62))*16&amp;"px"</f>
        <v>1m 10.92px</v>
      </c>
      <c r="G3" s="12" t="str">
        <f t="shared" ref="G3" si="2">INT(SUM(J3:L3))&amp;"m "&amp;((SUM(J3:L3))-INT(SUM(J3:L3)))*16&amp;"px"</f>
        <v>0m 0px</v>
      </c>
      <c r="H3" s="12" t="str">
        <f t="shared" ref="H3" si="3">INT(SUM(J3:L3)+0.0625)&amp;"m "&amp;((SUM(J3:L3)+0.0625)-INT(SUM(J3:L3)+0.0625))*16&amp;"px"</f>
        <v>0m 1px</v>
      </c>
      <c r="I3" s="8" t="str">
        <f t="shared" ref="I3" si="4">INT(SUM(J3:K3)+M3)&amp;"m "&amp;((SUM(J3:K3)+M3)-INT(SUM(J3:K3)+M3))*16&amp;"px"</f>
        <v>1m 9.92px</v>
      </c>
      <c r="J3" s="9"/>
      <c r="K3" s="9"/>
      <c r="L3" s="9"/>
      <c r="M3" s="9">
        <v>1.62</v>
      </c>
      <c r="N3" s="1"/>
      <c r="O3" s="1"/>
    </row>
    <row r="4" spans="1:15" x14ac:dyDescent="0.3">
      <c r="A4" s="12">
        <v>1</v>
      </c>
      <c r="B4" s="8" t="s">
        <v>7</v>
      </c>
      <c r="C4" s="8"/>
      <c r="D4" s="8" t="s">
        <v>24</v>
      </c>
      <c r="E4" s="8" t="str">
        <f t="shared" ref="E4:E44" si="5">INT(SUM(J4:L4)+1.62)&amp;"m "&amp;((SUM(J4:L4)+1.62)-INT(SUM(J4:L4)+1.62))*16&amp;"px"</f>
        <v>1m 4.32px</v>
      </c>
      <c r="F4" s="8" t="str">
        <f t="shared" ref="F4:F44" si="6">INT(SUM(J4:L4)+0.0625+1.62)&amp;"m "&amp;((SUM(J4:L4)+0.0625+1.62)-INT(SUM(J4:L4)+0.0625+1.62))*16&amp;"px"</f>
        <v>1m 5.32px</v>
      </c>
      <c r="G4" s="12" t="str">
        <f t="shared" ref="G4:G44" si="7">INT(SUM(J4:L4))&amp;"m "&amp;((SUM(J4:L4))-INT(SUM(J4:L4)))*16&amp;"px"</f>
        <v>-1m 10.4px</v>
      </c>
      <c r="H4" s="12" t="str">
        <f t="shared" ref="H4:H44" si="8">INT(SUM(J4:L4)+0.0625)&amp;"m "&amp;((SUM(J4:L4)+0.0625)-INT(SUM(J4:L4)+0.0625))*16&amp;"px"</f>
        <v>-1m 11.4px</v>
      </c>
      <c r="I4" s="8" t="str">
        <f t="shared" ref="I4:I44" si="9">INT(SUM(J4:K4)+M4)&amp;"m "&amp;((SUM(J4:K4)+M4)-INT(SUM(J4:K4)+M4))*16&amp;"px"</f>
        <v>1m 4.32px</v>
      </c>
      <c r="J4" s="9">
        <v>-0.35</v>
      </c>
      <c r="K4" s="9"/>
      <c r="L4" s="9"/>
      <c r="M4" s="9">
        <v>1.62</v>
      </c>
      <c r="N4" s="1"/>
      <c r="O4" s="1"/>
    </row>
    <row r="5" spans="1:15" x14ac:dyDescent="0.3">
      <c r="A5" s="12">
        <v>2</v>
      </c>
      <c r="B5" s="8"/>
      <c r="C5" s="8" t="s">
        <v>11</v>
      </c>
      <c r="D5" s="8" t="s">
        <v>24</v>
      </c>
      <c r="E5" s="8" t="str">
        <f t="shared" si="5"/>
        <v>1m 4.32px</v>
      </c>
      <c r="F5" s="8" t="str">
        <f t="shared" si="6"/>
        <v>1m 5.32px</v>
      </c>
      <c r="G5" s="12" t="str">
        <f t="shared" si="7"/>
        <v>-1m 10.4px</v>
      </c>
      <c r="H5" s="12" t="str">
        <f t="shared" si="8"/>
        <v>-1m 11.4px</v>
      </c>
      <c r="I5" s="8" t="str">
        <f t="shared" si="9"/>
        <v>1m 4.32px</v>
      </c>
      <c r="J5" s="9"/>
      <c r="K5" s="9">
        <v>-0.35</v>
      </c>
      <c r="L5" s="9"/>
      <c r="M5" s="9">
        <v>1.62</v>
      </c>
      <c r="N5" s="1"/>
      <c r="O5" s="1"/>
    </row>
    <row r="6" spans="1:15" x14ac:dyDescent="0.3">
      <c r="A6" s="12">
        <v>3</v>
      </c>
      <c r="B6" s="8"/>
      <c r="C6" s="8" t="s">
        <v>57</v>
      </c>
      <c r="D6" s="8" t="s">
        <v>24</v>
      </c>
      <c r="E6" s="8" t="str">
        <f t="shared" si="5"/>
        <v>1m 8.32px</v>
      </c>
      <c r="F6" s="8" t="str">
        <f t="shared" si="6"/>
        <v>1m 9.32px</v>
      </c>
      <c r="G6" s="12" t="str">
        <f t="shared" si="7"/>
        <v>-1m 14.4px</v>
      </c>
      <c r="H6" s="12" t="str">
        <f t="shared" si="8"/>
        <v>-1m 15.4px</v>
      </c>
      <c r="I6" s="8" t="str">
        <f t="shared" si="9"/>
        <v>1m 8.32px</v>
      </c>
      <c r="J6" s="9"/>
      <c r="K6" s="9">
        <v>-0.1</v>
      </c>
      <c r="L6" s="9"/>
      <c r="M6" s="9">
        <v>1.62</v>
      </c>
      <c r="N6" s="1"/>
      <c r="O6" s="1"/>
    </row>
    <row r="7" spans="1:15" x14ac:dyDescent="0.3">
      <c r="A7" s="12">
        <v>4</v>
      </c>
      <c r="B7" s="8" t="s">
        <v>7</v>
      </c>
      <c r="C7" s="8" t="s">
        <v>11</v>
      </c>
      <c r="D7" s="8" t="s">
        <v>24</v>
      </c>
      <c r="E7" s="8" t="str">
        <f t="shared" si="5"/>
        <v>1m 4.32px</v>
      </c>
      <c r="F7" s="8" t="str">
        <f t="shared" si="6"/>
        <v>1m 5.32px</v>
      </c>
      <c r="G7" s="12" t="str">
        <f t="shared" si="7"/>
        <v>-1m 10.4px</v>
      </c>
      <c r="H7" s="12" t="str">
        <f t="shared" si="8"/>
        <v>-1m 11.4px</v>
      </c>
      <c r="I7" s="8" t="str">
        <f t="shared" si="9"/>
        <v>1m 4.32px</v>
      </c>
      <c r="J7" s="9">
        <v>0</v>
      </c>
      <c r="K7" s="9">
        <v>-0.35</v>
      </c>
      <c r="L7" s="9"/>
      <c r="M7" s="9">
        <v>1.62</v>
      </c>
      <c r="N7" s="1"/>
      <c r="O7" s="1"/>
    </row>
    <row r="8" spans="1:15" x14ac:dyDescent="0.3">
      <c r="A8" s="12">
        <v>5</v>
      </c>
      <c r="B8" s="8" t="s">
        <v>7</v>
      </c>
      <c r="C8" s="8" t="s">
        <v>57</v>
      </c>
      <c r="D8" s="8" t="s">
        <v>24</v>
      </c>
      <c r="E8" s="8" t="str">
        <f t="shared" si="5"/>
        <v>1m 8.32px</v>
      </c>
      <c r="F8" s="8" t="str">
        <f t="shared" si="6"/>
        <v>1m 9.32px</v>
      </c>
      <c r="G8" s="12" t="str">
        <f t="shared" si="7"/>
        <v>-1m 14.4px</v>
      </c>
      <c r="H8" s="12" t="str">
        <f t="shared" si="8"/>
        <v>-1m 15.4px</v>
      </c>
      <c r="I8" s="8" t="str">
        <f t="shared" si="9"/>
        <v>1m 8.32px</v>
      </c>
      <c r="J8" s="9">
        <v>0</v>
      </c>
      <c r="K8" s="9">
        <v>-0.1</v>
      </c>
      <c r="L8" s="9"/>
      <c r="M8" s="9">
        <v>1.62</v>
      </c>
      <c r="N8" s="1"/>
      <c r="O8" s="1"/>
    </row>
    <row r="9" spans="1:15" x14ac:dyDescent="0.3">
      <c r="A9" s="12">
        <v>6</v>
      </c>
      <c r="B9" s="8"/>
      <c r="C9" s="8"/>
      <c r="D9" s="8" t="s">
        <v>25</v>
      </c>
      <c r="E9" s="8" t="str">
        <f t="shared" si="5"/>
        <v>1m 15.12px</v>
      </c>
      <c r="F9" s="8" t="str">
        <f t="shared" si="6"/>
        <v>2m 0.120000000000005px</v>
      </c>
      <c r="G9" s="12" t="str">
        <f t="shared" si="7"/>
        <v>0m 5.2px</v>
      </c>
      <c r="H9" s="12" t="str">
        <f t="shared" si="8"/>
        <v>0m 6.2px</v>
      </c>
      <c r="I9" s="8" t="str">
        <f t="shared" si="9"/>
        <v>0m 12.24px</v>
      </c>
      <c r="J9" s="9"/>
      <c r="K9" s="9"/>
      <c r="L9" s="9">
        <v>0.32500000000000001</v>
      </c>
      <c r="M9" s="9">
        <v>0.76500000000000001</v>
      </c>
      <c r="N9" s="1"/>
      <c r="O9" s="1"/>
    </row>
    <row r="10" spans="1:15" x14ac:dyDescent="0.3">
      <c r="A10" s="12">
        <v>7</v>
      </c>
      <c r="B10" s="8"/>
      <c r="C10" s="8"/>
      <c r="D10" s="8" t="s">
        <v>26</v>
      </c>
      <c r="E10" s="8" t="str">
        <f t="shared" si="5"/>
        <v>2m 2.32px</v>
      </c>
      <c r="F10" s="8" t="str">
        <f t="shared" si="6"/>
        <v>2m 3.32px</v>
      </c>
      <c r="G10" s="12" t="str">
        <f t="shared" si="7"/>
        <v>0m 8.4px</v>
      </c>
      <c r="H10" s="12" t="str">
        <f t="shared" si="8"/>
        <v>0m 9.4px</v>
      </c>
      <c r="I10" s="8" t="str">
        <f t="shared" si="9"/>
        <v>1m 6.8px</v>
      </c>
      <c r="J10" s="9"/>
      <c r="K10" s="9"/>
      <c r="L10" s="9">
        <v>0.52500000000000002</v>
      </c>
      <c r="M10" s="9">
        <v>1.425</v>
      </c>
      <c r="N10" s="1"/>
      <c r="O10" s="1"/>
    </row>
    <row r="11" spans="1:15" x14ac:dyDescent="0.3">
      <c r="A11" s="12">
        <v>8</v>
      </c>
      <c r="B11" s="8"/>
      <c r="C11" s="8"/>
      <c r="D11" s="8" t="s">
        <v>12</v>
      </c>
      <c r="E11" s="8" t="str">
        <f t="shared" si="5"/>
        <v>2m 3.52px</v>
      </c>
      <c r="F11" s="8" t="str">
        <f t="shared" si="6"/>
        <v>2m 4.52px</v>
      </c>
      <c r="G11" s="12" t="str">
        <f t="shared" si="7"/>
        <v>0m 9.6px</v>
      </c>
      <c r="H11" s="12" t="str">
        <f t="shared" si="8"/>
        <v>0m 10.6px</v>
      </c>
      <c r="I11" s="8" t="str">
        <f t="shared" si="9"/>
        <v>1m 8.32px</v>
      </c>
      <c r="J11" s="9"/>
      <c r="K11" s="9"/>
      <c r="L11" s="9">
        <v>0.6</v>
      </c>
      <c r="M11" s="9">
        <v>1.52</v>
      </c>
      <c r="N11" s="1"/>
      <c r="O11" s="1"/>
    </row>
    <row r="12" spans="1:15" x14ac:dyDescent="0.3">
      <c r="A12" s="12">
        <v>9</v>
      </c>
      <c r="B12" s="8"/>
      <c r="C12" s="8"/>
      <c r="D12" s="8" t="s">
        <v>13</v>
      </c>
      <c r="E12" s="8" t="str">
        <f t="shared" si="5"/>
        <v>2m 4.52px</v>
      </c>
      <c r="F12" s="8" t="str">
        <f t="shared" si="6"/>
        <v>2m 5.52px</v>
      </c>
      <c r="G12" s="12" t="str">
        <f t="shared" si="7"/>
        <v>0m 10.6px</v>
      </c>
      <c r="H12" s="12" t="str">
        <f t="shared" si="8"/>
        <v>0m 11.6px</v>
      </c>
      <c r="I12" s="8" t="str">
        <f t="shared" si="9"/>
        <v>1m 8.32px</v>
      </c>
      <c r="J12" s="9"/>
      <c r="K12" s="9"/>
      <c r="L12" s="9">
        <v>0.66249999999999998</v>
      </c>
      <c r="M12" s="9">
        <v>1.52</v>
      </c>
      <c r="N12" s="1"/>
      <c r="O12" s="1"/>
    </row>
    <row r="13" spans="1:15" x14ac:dyDescent="0.3">
      <c r="A13" s="12">
        <v>10</v>
      </c>
      <c r="B13" s="8"/>
      <c r="C13" s="8"/>
      <c r="D13" s="8" t="s">
        <v>14</v>
      </c>
      <c r="E13" s="8" t="str">
        <f t="shared" si="5"/>
        <v>2m 6.27200000000001px</v>
      </c>
      <c r="F13" s="8" t="str">
        <f t="shared" si="6"/>
        <v>2m 7.27200000000001px</v>
      </c>
      <c r="G13" s="12" t="str">
        <f t="shared" si="7"/>
        <v>0m 12.352px</v>
      </c>
      <c r="H13" s="12" t="str">
        <f t="shared" si="8"/>
        <v>0m 13.352px</v>
      </c>
      <c r="I13" s="8" t="str">
        <f t="shared" si="9"/>
        <v>1m 12.424px</v>
      </c>
      <c r="J13" s="9"/>
      <c r="K13" s="9"/>
      <c r="L13" s="9">
        <v>0.77200000000000002</v>
      </c>
      <c r="M13" s="9">
        <v>1.7765</v>
      </c>
      <c r="N13" s="1"/>
      <c r="O13" s="1"/>
    </row>
    <row r="14" spans="1:15" x14ac:dyDescent="0.3">
      <c r="A14" s="12">
        <v>11</v>
      </c>
      <c r="B14" s="8"/>
      <c r="C14" s="8"/>
      <c r="D14" s="8" t="s">
        <v>27</v>
      </c>
      <c r="E14" s="8" t="str">
        <f t="shared" si="5"/>
        <v>2m 7.52px</v>
      </c>
      <c r="F14" s="8" t="str">
        <f t="shared" si="6"/>
        <v>2m 8.52px</v>
      </c>
      <c r="G14" s="12" t="str">
        <f t="shared" si="7"/>
        <v>0m 13.6px</v>
      </c>
      <c r="H14" s="12" t="str">
        <f t="shared" si="8"/>
        <v>0m 14.6px</v>
      </c>
      <c r="I14" s="8" t="str">
        <f t="shared" si="9"/>
        <v>1m 8.32px</v>
      </c>
      <c r="J14" s="9"/>
      <c r="K14" s="9"/>
      <c r="L14" s="9">
        <v>0.85</v>
      </c>
      <c r="M14" s="9">
        <v>1.52</v>
      </c>
      <c r="N14" s="1"/>
      <c r="O14" s="1"/>
    </row>
    <row r="15" spans="1:15" x14ac:dyDescent="0.3">
      <c r="A15" s="12">
        <v>12</v>
      </c>
      <c r="B15" s="8"/>
      <c r="C15" s="8"/>
      <c r="D15" s="8" t="s">
        <v>15</v>
      </c>
      <c r="E15" s="8" t="str">
        <f t="shared" si="5"/>
        <v>2m 12.48px</v>
      </c>
      <c r="F15" s="8" t="str">
        <f t="shared" si="6"/>
        <v>2m 13.48px</v>
      </c>
      <c r="G15" s="12" t="str">
        <f t="shared" si="7"/>
        <v>1m 2.56px</v>
      </c>
      <c r="H15" s="12" t="str">
        <f t="shared" si="8"/>
        <v>1m 3.56px</v>
      </c>
      <c r="I15" s="8" t="str">
        <f t="shared" si="9"/>
        <v>1m 7.12px</v>
      </c>
      <c r="J15" s="9"/>
      <c r="K15" s="9"/>
      <c r="L15" s="9">
        <v>1.1599999999999999</v>
      </c>
      <c r="M15" s="9">
        <v>1.4450000000000001</v>
      </c>
      <c r="N15" s="1"/>
      <c r="O15" s="1"/>
    </row>
    <row r="16" spans="1:15" x14ac:dyDescent="0.3">
      <c r="A16" s="12">
        <v>13</v>
      </c>
      <c r="B16" s="8"/>
      <c r="C16" s="8"/>
      <c r="D16" s="8" t="s">
        <v>16</v>
      </c>
      <c r="E16" s="8" t="str">
        <f t="shared" si="5"/>
        <v>4m 6.88px</v>
      </c>
      <c r="F16" s="8" t="str">
        <f t="shared" si="6"/>
        <v>4m 7.88px</v>
      </c>
      <c r="G16" s="12" t="str">
        <f t="shared" si="7"/>
        <v>2m 12.96px</v>
      </c>
      <c r="H16" s="12" t="str">
        <f t="shared" si="8"/>
        <v>2m 13.96px</v>
      </c>
      <c r="I16" s="8" t="str">
        <f t="shared" si="9"/>
        <v>1m 7.12px</v>
      </c>
      <c r="J16" s="9"/>
      <c r="K16" s="9"/>
      <c r="L16" s="9">
        <v>2.81</v>
      </c>
      <c r="M16" s="9">
        <v>1.4450000000000001</v>
      </c>
      <c r="N16" s="1"/>
      <c r="O16" s="1"/>
    </row>
    <row r="17" spans="1:15" x14ac:dyDescent="0.3">
      <c r="A17" s="12">
        <v>14</v>
      </c>
      <c r="B17" s="8"/>
      <c r="C17" s="8"/>
      <c r="D17" s="8" t="s">
        <v>63</v>
      </c>
      <c r="E17" s="8" t="str">
        <f t="shared" si="5"/>
        <v>1m 13.04px</v>
      </c>
      <c r="F17" s="8" t="str">
        <f t="shared" si="6"/>
        <v>1m 14.04px</v>
      </c>
      <c r="G17" s="12" t="str">
        <f t="shared" si="7"/>
        <v>0m 3.12px</v>
      </c>
      <c r="H17" s="12" t="str">
        <f t="shared" si="8"/>
        <v>0m 4.12px</v>
      </c>
      <c r="I17" s="8" t="str">
        <f t="shared" si="9"/>
        <v>2m 4.4px</v>
      </c>
      <c r="J17" s="9"/>
      <c r="K17" s="9"/>
      <c r="L17" s="9">
        <v>0.19500000000000001</v>
      </c>
      <c r="M17" s="9">
        <v>2.2749999999999999</v>
      </c>
      <c r="N17" s="1"/>
      <c r="O17" s="1"/>
    </row>
    <row r="18" spans="1:15" x14ac:dyDescent="0.3">
      <c r="A18" s="12">
        <v>15</v>
      </c>
      <c r="B18" s="8"/>
      <c r="C18" s="8"/>
      <c r="D18" s="8" t="s">
        <v>64</v>
      </c>
      <c r="E18" s="8" t="str">
        <f t="shared" si="5"/>
        <v>3m 0.719999999999999px</v>
      </c>
      <c r="F18" s="8" t="str">
        <f t="shared" si="6"/>
        <v>3m 1.72px</v>
      </c>
      <c r="G18" s="12" t="str">
        <f t="shared" si="7"/>
        <v>1m 6.8px</v>
      </c>
      <c r="H18" s="12" t="str">
        <f t="shared" si="8"/>
        <v>1m 7.8px</v>
      </c>
      <c r="I18" s="8" t="str">
        <f t="shared" si="9"/>
        <v>1m 0.719999999999999px</v>
      </c>
      <c r="J18" s="9"/>
      <c r="K18" s="9"/>
      <c r="L18" s="9">
        <v>1.425</v>
      </c>
      <c r="M18" s="9">
        <v>1.0449999999999999</v>
      </c>
      <c r="N18" s="1"/>
      <c r="O18" s="1"/>
    </row>
    <row r="19" spans="1:15" x14ac:dyDescent="0.3">
      <c r="A19" s="12">
        <v>16</v>
      </c>
      <c r="B19" s="8" t="s">
        <v>7</v>
      </c>
      <c r="C19" s="8"/>
      <c r="D19" s="8" t="s">
        <v>25</v>
      </c>
      <c r="E19" s="8" t="str">
        <f t="shared" si="5"/>
        <v>2m 1.36px</v>
      </c>
      <c r="F19" s="8" t="str">
        <f t="shared" si="6"/>
        <v>2m 2.36px</v>
      </c>
      <c r="G19" s="12" t="str">
        <f t="shared" si="7"/>
        <v>0m 7.44px</v>
      </c>
      <c r="H19" s="12" t="str">
        <f t="shared" si="8"/>
        <v>0m 8.44px</v>
      </c>
      <c r="I19" s="8" t="str">
        <f t="shared" si="9"/>
        <v>0m 14.48px</v>
      </c>
      <c r="J19" s="9">
        <v>0.14000000000000001</v>
      </c>
      <c r="K19" s="9"/>
      <c r="L19" s="9">
        <v>0.32500000000000001</v>
      </c>
      <c r="M19" s="9">
        <v>0.76500000000000001</v>
      </c>
      <c r="N19" s="1"/>
      <c r="O19" s="1"/>
    </row>
    <row r="20" spans="1:15" x14ac:dyDescent="0.3">
      <c r="A20" s="12">
        <v>17</v>
      </c>
      <c r="B20" s="8" t="s">
        <v>7</v>
      </c>
      <c r="C20" s="8"/>
      <c r="D20" s="8" t="s">
        <v>26</v>
      </c>
      <c r="E20" s="8" t="str">
        <f t="shared" si="5"/>
        <v>2m 4.56px</v>
      </c>
      <c r="F20" s="8" t="str">
        <f t="shared" si="6"/>
        <v>2m 5.56px</v>
      </c>
      <c r="G20" s="12" t="str">
        <f t="shared" si="7"/>
        <v>0m 10.64px</v>
      </c>
      <c r="H20" s="12" t="str">
        <f t="shared" si="8"/>
        <v>0m 11.64px</v>
      </c>
      <c r="I20" s="8" t="str">
        <f t="shared" si="9"/>
        <v>1m 9.04px</v>
      </c>
      <c r="J20" s="9">
        <v>0.14000000000000001</v>
      </c>
      <c r="K20" s="9"/>
      <c r="L20" s="9">
        <v>0.52500000000000002</v>
      </c>
      <c r="M20" s="9">
        <v>1.425</v>
      </c>
      <c r="N20" s="1"/>
      <c r="O20" s="1"/>
    </row>
    <row r="21" spans="1:15" x14ac:dyDescent="0.3">
      <c r="A21" s="12">
        <v>18</v>
      </c>
      <c r="B21" s="8" t="s">
        <v>7</v>
      </c>
      <c r="C21" s="8"/>
      <c r="D21" s="8" t="s">
        <v>12</v>
      </c>
      <c r="E21" s="8" t="str">
        <f t="shared" si="5"/>
        <v>2m 5.76000000000001px</v>
      </c>
      <c r="F21" s="8" t="str">
        <f t="shared" si="6"/>
        <v>2m 6.76000000000001px</v>
      </c>
      <c r="G21" s="12" t="str">
        <f t="shared" si="7"/>
        <v>0m 11.84px</v>
      </c>
      <c r="H21" s="12" t="str">
        <f t="shared" si="8"/>
        <v>0m 12.84px</v>
      </c>
      <c r="I21" s="8" t="str">
        <f t="shared" si="9"/>
        <v>1m 10.56px</v>
      </c>
      <c r="J21" s="9">
        <v>0.14000000000000001</v>
      </c>
      <c r="K21" s="9"/>
      <c r="L21" s="9">
        <v>0.6</v>
      </c>
      <c r="M21" s="9">
        <v>1.52</v>
      </c>
      <c r="N21" s="1"/>
      <c r="O21" s="1"/>
    </row>
    <row r="22" spans="1:15" x14ac:dyDescent="0.3">
      <c r="A22" s="12">
        <v>19</v>
      </c>
      <c r="B22" s="8" t="s">
        <v>7</v>
      </c>
      <c r="C22" s="8"/>
      <c r="D22" s="8" t="s">
        <v>13</v>
      </c>
      <c r="E22" s="8" t="str">
        <f t="shared" si="5"/>
        <v>2m 6.76000000000001px</v>
      </c>
      <c r="F22" s="8" t="str">
        <f t="shared" si="6"/>
        <v>2m 7.76000000000001px</v>
      </c>
      <c r="G22" s="12" t="str">
        <f t="shared" si="7"/>
        <v>0m 12.84px</v>
      </c>
      <c r="H22" s="12" t="str">
        <f t="shared" si="8"/>
        <v>0m 13.84px</v>
      </c>
      <c r="I22" s="8" t="str">
        <f t="shared" si="9"/>
        <v>1m 10.56px</v>
      </c>
      <c r="J22" s="9">
        <v>0.14000000000000001</v>
      </c>
      <c r="K22" s="9"/>
      <c r="L22" s="9">
        <v>0.66249999999999998</v>
      </c>
      <c r="M22" s="9">
        <v>1.52</v>
      </c>
      <c r="N22" s="1"/>
      <c r="O22" s="1"/>
    </row>
    <row r="23" spans="1:15" x14ac:dyDescent="0.3">
      <c r="A23" s="12">
        <v>20</v>
      </c>
      <c r="B23" s="8" t="s">
        <v>7</v>
      </c>
      <c r="C23" s="8"/>
      <c r="D23" s="8" t="s">
        <v>14</v>
      </c>
      <c r="E23" s="8" t="str">
        <f t="shared" si="5"/>
        <v>2m 8.512px</v>
      </c>
      <c r="F23" s="8" t="str">
        <f t="shared" si="6"/>
        <v>2m 9.512px</v>
      </c>
      <c r="G23" s="12" t="str">
        <f t="shared" si="7"/>
        <v>0m 14.592px</v>
      </c>
      <c r="H23" s="12" t="str">
        <f t="shared" si="8"/>
        <v>0m 15.592px</v>
      </c>
      <c r="I23" s="8" t="str">
        <f t="shared" si="9"/>
        <v>1m 14.664px</v>
      </c>
      <c r="J23" s="9">
        <v>0.14000000000000001</v>
      </c>
      <c r="K23" s="9"/>
      <c r="L23" s="9">
        <v>0.77200000000000002</v>
      </c>
      <c r="M23" s="9">
        <v>1.7765</v>
      </c>
      <c r="N23" s="1"/>
      <c r="O23" s="1"/>
    </row>
    <row r="24" spans="1:15" x14ac:dyDescent="0.3">
      <c r="A24" s="12">
        <v>21</v>
      </c>
      <c r="B24" s="8" t="s">
        <v>7</v>
      </c>
      <c r="C24" s="8"/>
      <c r="D24" s="8" t="s">
        <v>27</v>
      </c>
      <c r="E24" s="8" t="str">
        <f t="shared" si="5"/>
        <v>2m 9.76000000000001px</v>
      </c>
      <c r="F24" s="8" t="str">
        <f t="shared" si="6"/>
        <v>2m 10.76px</v>
      </c>
      <c r="G24" s="12" t="str">
        <f t="shared" si="7"/>
        <v>0m 15.84px</v>
      </c>
      <c r="H24" s="12" t="str">
        <f t="shared" si="8"/>
        <v>1m 0.84px</v>
      </c>
      <c r="I24" s="8" t="str">
        <f t="shared" si="9"/>
        <v>1m 10.56px</v>
      </c>
      <c r="J24" s="9">
        <v>0.14000000000000001</v>
      </c>
      <c r="K24" s="9"/>
      <c r="L24" s="9">
        <v>0.85</v>
      </c>
      <c r="M24" s="9">
        <v>1.52</v>
      </c>
      <c r="N24" s="1"/>
      <c r="O24" s="1"/>
    </row>
    <row r="25" spans="1:15" x14ac:dyDescent="0.3">
      <c r="A25" s="12">
        <v>22</v>
      </c>
      <c r="B25" s="8" t="s">
        <v>7</v>
      </c>
      <c r="C25" s="8"/>
      <c r="D25" s="8" t="s">
        <v>15</v>
      </c>
      <c r="E25" s="8" t="str">
        <f t="shared" si="5"/>
        <v>2m 14.72px</v>
      </c>
      <c r="F25" s="8" t="str">
        <f t="shared" si="6"/>
        <v>2m 15.72px</v>
      </c>
      <c r="G25" s="12" t="str">
        <f t="shared" si="7"/>
        <v>1m 4.8px</v>
      </c>
      <c r="H25" s="12" t="str">
        <f t="shared" si="8"/>
        <v>1m 5.8px</v>
      </c>
      <c r="I25" s="8" t="str">
        <f t="shared" si="9"/>
        <v>1m 9.36px</v>
      </c>
      <c r="J25" s="9">
        <v>0.14000000000000001</v>
      </c>
      <c r="K25" s="9"/>
      <c r="L25" s="9">
        <v>1.1599999999999999</v>
      </c>
      <c r="M25" s="9">
        <v>1.4450000000000001</v>
      </c>
      <c r="N25" s="1"/>
      <c r="O25" s="1"/>
    </row>
    <row r="26" spans="1:15" x14ac:dyDescent="0.3">
      <c r="A26" s="12">
        <v>23</v>
      </c>
      <c r="B26" s="8" t="s">
        <v>7</v>
      </c>
      <c r="C26" s="8"/>
      <c r="D26" s="8" t="s">
        <v>16</v>
      </c>
      <c r="E26" s="8" t="str">
        <f t="shared" si="5"/>
        <v>4m 9.12px</v>
      </c>
      <c r="F26" s="8" t="str">
        <f t="shared" si="6"/>
        <v>4m 10.12px</v>
      </c>
      <c r="G26" s="12" t="str">
        <f t="shared" si="7"/>
        <v>2m 15.2px</v>
      </c>
      <c r="H26" s="12" t="str">
        <f t="shared" si="8"/>
        <v>3m 0.200000000000003px</v>
      </c>
      <c r="I26" s="8" t="str">
        <f t="shared" si="9"/>
        <v>1m 9.36px</v>
      </c>
      <c r="J26" s="9">
        <v>0.14000000000000001</v>
      </c>
      <c r="K26" s="9"/>
      <c r="L26" s="9">
        <v>2.81</v>
      </c>
      <c r="M26" s="9">
        <v>1.4450000000000001</v>
      </c>
      <c r="N26" s="1"/>
      <c r="O26" s="1"/>
    </row>
    <row r="27" spans="1:15" x14ac:dyDescent="0.3">
      <c r="A27" s="12">
        <v>24</v>
      </c>
      <c r="B27" s="8" t="s">
        <v>7</v>
      </c>
      <c r="C27" s="8"/>
      <c r="D27" s="8" t="s">
        <v>63</v>
      </c>
      <c r="E27" s="8" t="str">
        <f t="shared" si="5"/>
        <v>1m 15.28px</v>
      </c>
      <c r="F27" s="8" t="str">
        <f t="shared" si="6"/>
        <v>2m 0.280000000000001px</v>
      </c>
      <c r="G27" s="12" t="str">
        <f t="shared" si="7"/>
        <v>0m 5.36px</v>
      </c>
      <c r="H27" s="12" t="str">
        <f t="shared" si="8"/>
        <v>0m 6.36px</v>
      </c>
      <c r="I27" s="8" t="str">
        <f t="shared" si="9"/>
        <v>2m 6.64px</v>
      </c>
      <c r="J27" s="9">
        <v>0.14000000000000001</v>
      </c>
      <c r="K27" s="9"/>
      <c r="L27" s="9">
        <v>0.19500000000000001</v>
      </c>
      <c r="M27" s="9">
        <v>2.2749999999999999</v>
      </c>
      <c r="N27" s="1"/>
      <c r="O27" s="1"/>
    </row>
    <row r="28" spans="1:15" x14ac:dyDescent="0.3">
      <c r="A28" s="12">
        <v>25</v>
      </c>
      <c r="B28" s="8" t="s">
        <v>7</v>
      </c>
      <c r="C28" s="8"/>
      <c r="D28" s="8" t="s">
        <v>64</v>
      </c>
      <c r="E28" s="8" t="str">
        <f t="shared" si="5"/>
        <v>3m 2.96px</v>
      </c>
      <c r="F28" s="8" t="str">
        <f t="shared" si="6"/>
        <v>3m 3.96px</v>
      </c>
      <c r="G28" s="12" t="str">
        <f t="shared" si="7"/>
        <v>1m 9.04px</v>
      </c>
      <c r="H28" s="12" t="str">
        <f t="shared" si="8"/>
        <v>1m 10.04px</v>
      </c>
      <c r="I28" s="8" t="str">
        <f t="shared" si="9"/>
        <v>1m 2.96px</v>
      </c>
      <c r="J28" s="9">
        <v>0.14000000000000001</v>
      </c>
      <c r="K28" s="9"/>
      <c r="L28" s="9">
        <v>1.425</v>
      </c>
      <c r="M28" s="9">
        <v>1.0449999999999999</v>
      </c>
      <c r="N28" s="1"/>
      <c r="O28" s="1"/>
    </row>
    <row r="29" spans="1:15" x14ac:dyDescent="0.3">
      <c r="A29" s="12">
        <v>26</v>
      </c>
      <c r="B29" s="8"/>
      <c r="C29" s="8" t="s">
        <v>11</v>
      </c>
      <c r="D29" s="8" t="s">
        <v>25</v>
      </c>
      <c r="E29" s="8" t="str">
        <f t="shared" si="5"/>
        <v>2m 1.36px</v>
      </c>
      <c r="F29" s="8" t="str">
        <f t="shared" si="6"/>
        <v>2m 2.36px</v>
      </c>
      <c r="G29" s="12" t="str">
        <f t="shared" si="7"/>
        <v>0m 7.44px</v>
      </c>
      <c r="H29" s="12" t="str">
        <f t="shared" si="8"/>
        <v>0m 8.44px</v>
      </c>
      <c r="I29" s="8" t="str">
        <f t="shared" si="9"/>
        <v>0m 14.48px</v>
      </c>
      <c r="J29" s="9"/>
      <c r="K29" s="9">
        <v>0.14000000000000001</v>
      </c>
      <c r="L29" s="9">
        <v>0.32500000000000001</v>
      </c>
      <c r="M29" s="9">
        <v>0.76500000000000001</v>
      </c>
      <c r="N29" s="1"/>
      <c r="O29" s="1"/>
    </row>
    <row r="30" spans="1:15" x14ac:dyDescent="0.3">
      <c r="A30" s="12">
        <v>27</v>
      </c>
      <c r="B30" s="8"/>
      <c r="C30" s="8" t="s">
        <v>11</v>
      </c>
      <c r="D30" s="8" t="s">
        <v>14</v>
      </c>
      <c r="E30" s="8" t="str">
        <f t="shared" si="5"/>
        <v>2m 8.512px</v>
      </c>
      <c r="F30" s="8" t="str">
        <f t="shared" si="6"/>
        <v>2m 9.512px</v>
      </c>
      <c r="G30" s="12" t="str">
        <f t="shared" si="7"/>
        <v>0m 14.592px</v>
      </c>
      <c r="H30" s="12" t="str">
        <f t="shared" si="8"/>
        <v>0m 15.592px</v>
      </c>
      <c r="I30" s="8" t="str">
        <f t="shared" si="9"/>
        <v>1m 14.664px</v>
      </c>
      <c r="J30" s="9"/>
      <c r="K30" s="9">
        <v>0.14000000000000001</v>
      </c>
      <c r="L30" s="9">
        <v>0.77200000000000002</v>
      </c>
      <c r="M30" s="9">
        <v>1.7765</v>
      </c>
      <c r="N30" s="1"/>
      <c r="O30" s="1"/>
    </row>
    <row r="31" spans="1:15" x14ac:dyDescent="0.3">
      <c r="A31" s="12">
        <v>28</v>
      </c>
      <c r="B31" s="8"/>
      <c r="C31" s="8" t="s">
        <v>11</v>
      </c>
      <c r="D31" s="8" t="s">
        <v>15</v>
      </c>
      <c r="E31" s="8" t="str">
        <f t="shared" si="5"/>
        <v>2m 14.72px</v>
      </c>
      <c r="F31" s="8" t="str">
        <f t="shared" si="6"/>
        <v>2m 15.72px</v>
      </c>
      <c r="G31" s="12" t="str">
        <f t="shared" si="7"/>
        <v>1m 4.8px</v>
      </c>
      <c r="H31" s="12" t="str">
        <f t="shared" si="8"/>
        <v>1m 5.8px</v>
      </c>
      <c r="I31" s="8" t="str">
        <f t="shared" si="9"/>
        <v>1m 9.36px</v>
      </c>
      <c r="J31" s="9"/>
      <c r="K31" s="9">
        <v>0.14000000000000001</v>
      </c>
      <c r="L31" s="9">
        <v>1.1599999999999999</v>
      </c>
      <c r="M31" s="9">
        <v>1.4450000000000001</v>
      </c>
      <c r="N31" s="1"/>
      <c r="O31" s="1"/>
    </row>
    <row r="32" spans="1:15" x14ac:dyDescent="0.3">
      <c r="A32" s="12">
        <v>29</v>
      </c>
      <c r="B32" s="8"/>
      <c r="C32" s="8" t="s">
        <v>11</v>
      </c>
      <c r="D32" s="8" t="s">
        <v>16</v>
      </c>
      <c r="E32" s="8" t="str">
        <f t="shared" si="5"/>
        <v>4m 9.12px</v>
      </c>
      <c r="F32" s="8" t="str">
        <f t="shared" si="6"/>
        <v>4m 10.12px</v>
      </c>
      <c r="G32" s="12" t="str">
        <f t="shared" si="7"/>
        <v>2m 15.2px</v>
      </c>
      <c r="H32" s="12" t="str">
        <f t="shared" si="8"/>
        <v>3m 0.200000000000003px</v>
      </c>
      <c r="I32" s="8" t="str">
        <f t="shared" si="9"/>
        <v>1m 9.36px</v>
      </c>
      <c r="J32" s="9"/>
      <c r="K32" s="9">
        <v>0.14000000000000001</v>
      </c>
      <c r="L32" s="9">
        <v>2.81</v>
      </c>
      <c r="M32" s="9">
        <v>1.4450000000000001</v>
      </c>
      <c r="N32" s="1"/>
      <c r="O32" s="1"/>
    </row>
    <row r="33" spans="1:15" x14ac:dyDescent="0.3">
      <c r="A33" s="12">
        <v>30</v>
      </c>
      <c r="B33" s="8"/>
      <c r="C33" s="8" t="s">
        <v>57</v>
      </c>
      <c r="D33" s="8" t="s">
        <v>25</v>
      </c>
      <c r="E33" s="8" t="str">
        <f t="shared" si="5"/>
        <v>2m 5.36px</v>
      </c>
      <c r="F33" s="8" t="str">
        <f t="shared" si="6"/>
        <v>2m 6.36px</v>
      </c>
      <c r="G33" s="12" t="str">
        <f t="shared" si="7"/>
        <v>0m 11.44px</v>
      </c>
      <c r="H33" s="12" t="str">
        <f t="shared" si="8"/>
        <v>0m 12.44px</v>
      </c>
      <c r="I33" s="8" t="str">
        <f t="shared" si="9"/>
        <v>1m 2.48px</v>
      </c>
      <c r="J33" s="9"/>
      <c r="K33" s="9">
        <v>0.39</v>
      </c>
      <c r="L33" s="9">
        <v>0.32500000000000001</v>
      </c>
      <c r="M33" s="9">
        <v>0.76500000000000001</v>
      </c>
      <c r="N33" s="1"/>
      <c r="O33" s="1"/>
    </row>
    <row r="34" spans="1:15" x14ac:dyDescent="0.3">
      <c r="A34" s="12">
        <v>31</v>
      </c>
      <c r="B34" s="8"/>
      <c r="C34" s="8" t="s">
        <v>57</v>
      </c>
      <c r="D34" s="8" t="s">
        <v>14</v>
      </c>
      <c r="E34" s="8" t="str">
        <f t="shared" si="5"/>
        <v>2m 12.512px</v>
      </c>
      <c r="F34" s="8" t="str">
        <f t="shared" si="6"/>
        <v>2m 13.512px</v>
      </c>
      <c r="G34" s="12" t="str">
        <f t="shared" si="7"/>
        <v>1m 2.592px</v>
      </c>
      <c r="H34" s="12" t="str">
        <f t="shared" si="8"/>
        <v>1m 3.592px</v>
      </c>
      <c r="I34" s="8" t="str">
        <f t="shared" si="9"/>
        <v>2m 2.664px</v>
      </c>
      <c r="J34" s="9"/>
      <c r="K34" s="9">
        <v>0.39</v>
      </c>
      <c r="L34" s="9">
        <v>0.77200000000000002</v>
      </c>
      <c r="M34" s="9">
        <v>1.7765</v>
      </c>
      <c r="N34" s="1"/>
      <c r="O34" s="1"/>
    </row>
    <row r="35" spans="1:15" x14ac:dyDescent="0.3">
      <c r="A35" s="12">
        <v>32</v>
      </c>
      <c r="B35" s="8"/>
      <c r="C35" s="8" t="s">
        <v>57</v>
      </c>
      <c r="D35" s="8" t="s">
        <v>15</v>
      </c>
      <c r="E35" s="8" t="str">
        <f t="shared" si="5"/>
        <v>3m 2.72px</v>
      </c>
      <c r="F35" s="8" t="str">
        <f t="shared" si="6"/>
        <v>3m 3.72px</v>
      </c>
      <c r="G35" s="12" t="str">
        <f t="shared" si="7"/>
        <v>1m 8.8px</v>
      </c>
      <c r="H35" s="12" t="str">
        <f t="shared" si="8"/>
        <v>1m 9.8px</v>
      </c>
      <c r="I35" s="8" t="str">
        <f t="shared" si="9"/>
        <v>1m 13.36px</v>
      </c>
      <c r="J35" s="9"/>
      <c r="K35" s="9">
        <v>0.39</v>
      </c>
      <c r="L35" s="9">
        <v>1.1599999999999999</v>
      </c>
      <c r="M35" s="9">
        <v>1.4450000000000001</v>
      </c>
      <c r="N35" s="1"/>
      <c r="O35" s="1"/>
    </row>
    <row r="36" spans="1:15" x14ac:dyDescent="0.3">
      <c r="A36" s="12">
        <v>33</v>
      </c>
      <c r="B36" s="8"/>
      <c r="C36" s="8" t="s">
        <v>57</v>
      </c>
      <c r="D36" s="8" t="s">
        <v>16</v>
      </c>
      <c r="E36" s="8" t="str">
        <f t="shared" si="5"/>
        <v>4m 13.12px</v>
      </c>
      <c r="F36" s="8" t="str">
        <f t="shared" si="6"/>
        <v>4m 14.12px</v>
      </c>
      <c r="G36" s="12" t="str">
        <f t="shared" si="7"/>
        <v>3m 3.2px</v>
      </c>
      <c r="H36" s="12" t="str">
        <f t="shared" si="8"/>
        <v>3m 4.2px</v>
      </c>
      <c r="I36" s="8" t="str">
        <f t="shared" si="9"/>
        <v>1m 13.36px</v>
      </c>
      <c r="J36" s="9"/>
      <c r="K36" s="9">
        <v>0.39</v>
      </c>
      <c r="L36" s="9">
        <v>2.81</v>
      </c>
      <c r="M36" s="9">
        <v>1.4450000000000001</v>
      </c>
      <c r="N36" s="1"/>
      <c r="O36" s="1"/>
    </row>
    <row r="37" spans="1:15" x14ac:dyDescent="0.3">
      <c r="A37" s="12">
        <v>34</v>
      </c>
      <c r="B37" s="8" t="s">
        <v>7</v>
      </c>
      <c r="C37" s="8" t="s">
        <v>11</v>
      </c>
      <c r="D37" s="8" t="s">
        <v>25</v>
      </c>
      <c r="E37" s="8" t="str">
        <f t="shared" si="5"/>
        <v>2m 1.36px</v>
      </c>
      <c r="F37" s="8" t="str">
        <f t="shared" si="6"/>
        <v>2m 2.36px</v>
      </c>
      <c r="G37" s="12" t="str">
        <f t="shared" si="7"/>
        <v>0m 7.44px</v>
      </c>
      <c r="H37" s="12" t="str">
        <f t="shared" si="8"/>
        <v>0m 8.44px</v>
      </c>
      <c r="I37" s="8" t="str">
        <f t="shared" si="9"/>
        <v>0m 14.48px</v>
      </c>
      <c r="J37" s="9">
        <v>0</v>
      </c>
      <c r="K37" s="9">
        <v>0.14000000000000001</v>
      </c>
      <c r="L37" s="9">
        <v>0.32500000000000001</v>
      </c>
      <c r="M37" s="9">
        <v>0.76500000000000001</v>
      </c>
      <c r="N37" s="1"/>
      <c r="O37" s="1"/>
    </row>
    <row r="38" spans="1:15" x14ac:dyDescent="0.3">
      <c r="A38" s="12">
        <v>35</v>
      </c>
      <c r="B38" s="8" t="s">
        <v>7</v>
      </c>
      <c r="C38" s="8" t="s">
        <v>11</v>
      </c>
      <c r="D38" s="8" t="s">
        <v>14</v>
      </c>
      <c r="E38" s="8" t="str">
        <f t="shared" si="5"/>
        <v>2m 8.512px</v>
      </c>
      <c r="F38" s="8" t="str">
        <f t="shared" si="6"/>
        <v>2m 9.512px</v>
      </c>
      <c r="G38" s="12" t="str">
        <f t="shared" si="7"/>
        <v>0m 14.592px</v>
      </c>
      <c r="H38" s="12" t="str">
        <f t="shared" si="8"/>
        <v>0m 15.592px</v>
      </c>
      <c r="I38" s="8" t="str">
        <f t="shared" si="9"/>
        <v>1m 14.664px</v>
      </c>
      <c r="J38" s="9">
        <v>0</v>
      </c>
      <c r="K38" s="9">
        <v>0.14000000000000001</v>
      </c>
      <c r="L38" s="9">
        <v>0.77200000000000002</v>
      </c>
      <c r="M38" s="9">
        <v>1.7765</v>
      </c>
      <c r="N38" s="1"/>
      <c r="O38" s="1"/>
    </row>
    <row r="39" spans="1:15" x14ac:dyDescent="0.3">
      <c r="A39" s="12">
        <v>36</v>
      </c>
      <c r="B39" s="8" t="s">
        <v>7</v>
      </c>
      <c r="C39" s="8" t="s">
        <v>11</v>
      </c>
      <c r="D39" s="8" t="s">
        <v>15</v>
      </c>
      <c r="E39" s="8" t="str">
        <f t="shared" si="5"/>
        <v>2m 14.72px</v>
      </c>
      <c r="F39" s="8" t="str">
        <f t="shared" si="6"/>
        <v>2m 15.72px</v>
      </c>
      <c r="G39" s="12" t="str">
        <f t="shared" si="7"/>
        <v>1m 4.8px</v>
      </c>
      <c r="H39" s="12" t="str">
        <f t="shared" si="8"/>
        <v>1m 5.8px</v>
      </c>
      <c r="I39" s="8" t="str">
        <f t="shared" si="9"/>
        <v>1m 9.36px</v>
      </c>
      <c r="J39" s="9">
        <v>0</v>
      </c>
      <c r="K39" s="9">
        <v>0.14000000000000001</v>
      </c>
      <c r="L39" s="9">
        <v>1.1599999999999999</v>
      </c>
      <c r="M39" s="9">
        <v>1.4450000000000001</v>
      </c>
      <c r="N39" s="1"/>
      <c r="O39" s="1"/>
    </row>
    <row r="40" spans="1:15" x14ac:dyDescent="0.3">
      <c r="A40" s="12">
        <v>37</v>
      </c>
      <c r="B40" s="8" t="s">
        <v>7</v>
      </c>
      <c r="C40" s="8" t="s">
        <v>11</v>
      </c>
      <c r="D40" s="8" t="s">
        <v>16</v>
      </c>
      <c r="E40" s="8" t="str">
        <f t="shared" si="5"/>
        <v>4m 9.12px</v>
      </c>
      <c r="F40" s="8" t="str">
        <f t="shared" si="6"/>
        <v>4m 10.12px</v>
      </c>
      <c r="G40" s="12" t="str">
        <f t="shared" si="7"/>
        <v>2m 15.2px</v>
      </c>
      <c r="H40" s="12" t="str">
        <f t="shared" si="8"/>
        <v>3m 0.200000000000003px</v>
      </c>
      <c r="I40" s="8" t="str">
        <f t="shared" si="9"/>
        <v>1m 9.36px</v>
      </c>
      <c r="J40" s="9">
        <v>0</v>
      </c>
      <c r="K40" s="9">
        <v>0.14000000000000001</v>
      </c>
      <c r="L40" s="9">
        <v>2.81</v>
      </c>
      <c r="M40" s="9">
        <v>1.4450000000000001</v>
      </c>
      <c r="N40" s="1"/>
      <c r="O40" s="1"/>
    </row>
    <row r="41" spans="1:15" x14ac:dyDescent="0.3">
      <c r="A41" s="12">
        <v>38</v>
      </c>
      <c r="B41" s="8" t="s">
        <v>7</v>
      </c>
      <c r="C41" s="8" t="s">
        <v>57</v>
      </c>
      <c r="D41" s="8" t="s">
        <v>25</v>
      </c>
      <c r="E41" s="8" t="str">
        <f t="shared" si="5"/>
        <v>2m 5.36px</v>
      </c>
      <c r="F41" s="8" t="str">
        <f t="shared" si="6"/>
        <v>2m 6.36px</v>
      </c>
      <c r="G41" s="12" t="str">
        <f t="shared" si="7"/>
        <v>0m 11.44px</v>
      </c>
      <c r="H41" s="12" t="str">
        <f t="shared" si="8"/>
        <v>0m 12.44px</v>
      </c>
      <c r="I41" s="8" t="str">
        <f t="shared" si="9"/>
        <v>1m 2.48px</v>
      </c>
      <c r="J41" s="9">
        <v>0</v>
      </c>
      <c r="K41" s="9">
        <v>0.39</v>
      </c>
      <c r="L41" s="9">
        <v>0.32500000000000001</v>
      </c>
      <c r="M41" s="9">
        <v>0.76500000000000001</v>
      </c>
      <c r="N41" s="1"/>
      <c r="O41" s="1"/>
    </row>
    <row r="42" spans="1:15" x14ac:dyDescent="0.3">
      <c r="A42" s="12">
        <v>39</v>
      </c>
      <c r="B42" s="8" t="s">
        <v>7</v>
      </c>
      <c r="C42" s="8" t="s">
        <v>57</v>
      </c>
      <c r="D42" s="8" t="s">
        <v>14</v>
      </c>
      <c r="E42" s="8" t="str">
        <f t="shared" si="5"/>
        <v>2m 12.512px</v>
      </c>
      <c r="F42" s="8" t="str">
        <f t="shared" si="6"/>
        <v>2m 13.512px</v>
      </c>
      <c r="G42" s="12" t="str">
        <f t="shared" si="7"/>
        <v>1m 2.592px</v>
      </c>
      <c r="H42" s="12" t="str">
        <f t="shared" si="8"/>
        <v>1m 3.592px</v>
      </c>
      <c r="I42" s="8" t="str">
        <f t="shared" si="9"/>
        <v>2m 2.664px</v>
      </c>
      <c r="J42" s="9">
        <v>0</v>
      </c>
      <c r="K42" s="9">
        <v>0.39</v>
      </c>
      <c r="L42" s="9">
        <v>0.77200000000000002</v>
      </c>
      <c r="M42" s="9">
        <v>1.7765</v>
      </c>
      <c r="N42" s="1"/>
      <c r="O42" s="1"/>
    </row>
    <row r="43" spans="1:15" x14ac:dyDescent="0.3">
      <c r="A43" s="12">
        <v>40</v>
      </c>
      <c r="B43" s="8" t="s">
        <v>7</v>
      </c>
      <c r="C43" s="8" t="s">
        <v>57</v>
      </c>
      <c r="D43" s="8" t="s">
        <v>15</v>
      </c>
      <c r="E43" s="8" t="str">
        <f t="shared" si="5"/>
        <v>3m 2.72px</v>
      </c>
      <c r="F43" s="8" t="str">
        <f t="shared" si="6"/>
        <v>3m 3.72px</v>
      </c>
      <c r="G43" s="12" t="str">
        <f t="shared" si="7"/>
        <v>1m 8.8px</v>
      </c>
      <c r="H43" s="12" t="str">
        <f t="shared" si="8"/>
        <v>1m 9.8px</v>
      </c>
      <c r="I43" s="8" t="str">
        <f t="shared" si="9"/>
        <v>1m 13.36px</v>
      </c>
      <c r="J43" s="9">
        <v>0</v>
      </c>
      <c r="K43" s="9">
        <v>0.39</v>
      </c>
      <c r="L43" s="9">
        <v>1.1599999999999999</v>
      </c>
      <c r="M43" s="9">
        <v>1.4450000000000001</v>
      </c>
      <c r="N43" s="1"/>
      <c r="O43" s="1"/>
    </row>
    <row r="44" spans="1:15" x14ac:dyDescent="0.3">
      <c r="A44" s="12">
        <v>41</v>
      </c>
      <c r="B44" s="8" t="s">
        <v>7</v>
      </c>
      <c r="C44" s="8" t="s">
        <v>57</v>
      </c>
      <c r="D44" s="8" t="s">
        <v>16</v>
      </c>
      <c r="E44" s="8" t="str">
        <f t="shared" si="5"/>
        <v>4m 13.12px</v>
      </c>
      <c r="F44" s="8" t="str">
        <f t="shared" si="6"/>
        <v>4m 14.12px</v>
      </c>
      <c r="G44" s="12" t="str">
        <f t="shared" si="7"/>
        <v>3m 3.2px</v>
      </c>
      <c r="H44" s="12" t="str">
        <f t="shared" si="8"/>
        <v>3m 4.2px</v>
      </c>
      <c r="I44" s="8" t="str">
        <f t="shared" si="9"/>
        <v>1m 13.36px</v>
      </c>
      <c r="J44" s="9">
        <v>0</v>
      </c>
      <c r="K44" s="9">
        <v>0.39</v>
      </c>
      <c r="L44" s="9">
        <v>2.81</v>
      </c>
      <c r="M44" s="9">
        <v>1.4450000000000001</v>
      </c>
      <c r="N44" s="1"/>
      <c r="O44" s="1"/>
    </row>
  </sheetData>
  <mergeCells count="3">
    <mergeCell ref="A1:D1"/>
    <mergeCell ref="E1:H1"/>
    <mergeCell ref="J1:M1"/>
  </mergeCells>
  <phoneticPr fontId="2" type="noConversion"/>
  <conditionalFormatting sqref="E3:I44">
    <cfRule type="expression" dxfId="5" priority="1" stopIfTrue="1">
      <formula>VALUE(LEFT(E3, FIND("m", E3) - 1)) &lt; 2</formula>
    </cfRule>
    <cfRule type="expression" dxfId="4" priority="2" stopIfTrue="1">
      <formula>AND(VALUE(LEFT(E3, FIND("m", E3) - 1)) &gt;= 2, VALUE(LEFT(E3, FIND("m", E3) - 1)) &lt; 3)</formula>
    </cfRule>
    <cfRule type="expression" dxfId="3" priority="3" stopIfTrue="1">
      <formula>VALUE(LEFT(E3, FIND("m", E3) - 1)) &gt;= 3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03649-D40D-441D-BD3C-2642864D3A35}">
  <dimension ref="A1:O44"/>
  <sheetViews>
    <sheetView workbookViewId="0">
      <pane ySplit="2" topLeftCell="A3" activePane="bottomLeft" state="frozen"/>
      <selection pane="bottomLeft" sqref="A1:D1"/>
    </sheetView>
  </sheetViews>
  <sheetFormatPr defaultColWidth="15.58203125" defaultRowHeight="14" x14ac:dyDescent="0.3"/>
  <cols>
    <col min="1" max="1" width="10.58203125" style="3" customWidth="1"/>
    <col min="2" max="4" width="15.58203125" style="1"/>
    <col min="7" max="8" width="15.58203125" style="3"/>
    <col min="9" max="9" width="15.58203125" style="1"/>
    <col min="10" max="12" width="10.58203125" style="1" customWidth="1"/>
    <col min="13" max="13" width="10.58203125" style="2" customWidth="1"/>
    <col min="14" max="15" width="15.58203125" style="2"/>
    <col min="16" max="16384" width="15.58203125" style="1"/>
  </cols>
  <sheetData>
    <row r="1" spans="1:15" x14ac:dyDescent="0.3">
      <c r="A1" s="25" t="s">
        <v>18</v>
      </c>
      <c r="B1" s="27"/>
      <c r="C1" s="27"/>
      <c r="D1" s="27"/>
      <c r="E1" s="26" t="s">
        <v>19</v>
      </c>
      <c r="F1" s="27"/>
      <c r="G1" s="27"/>
      <c r="H1" s="27"/>
      <c r="I1" s="11"/>
      <c r="J1" s="28" t="s">
        <v>20</v>
      </c>
      <c r="K1" s="27"/>
      <c r="L1" s="27"/>
      <c r="M1" s="27"/>
      <c r="N1" s="1"/>
      <c r="O1" s="1"/>
    </row>
    <row r="2" spans="1:15" s="5" customFormat="1" ht="42" x14ac:dyDescent="0.3">
      <c r="A2" s="18" t="s">
        <v>32</v>
      </c>
      <c r="B2" s="6" t="s">
        <v>7</v>
      </c>
      <c r="C2" s="6" t="s">
        <v>8</v>
      </c>
      <c r="D2" s="10" t="s">
        <v>53</v>
      </c>
      <c r="E2" s="17" t="s">
        <v>28</v>
      </c>
      <c r="F2" s="17" t="s">
        <v>29</v>
      </c>
      <c r="G2" s="18" t="s">
        <v>30</v>
      </c>
      <c r="H2" s="18" t="s">
        <v>31</v>
      </c>
      <c r="I2" s="17" t="s">
        <v>54</v>
      </c>
      <c r="J2" s="7" t="s">
        <v>7</v>
      </c>
      <c r="K2" s="7" t="s">
        <v>8</v>
      </c>
      <c r="L2" s="7" t="s">
        <v>9</v>
      </c>
      <c r="M2" s="7" t="s">
        <v>10</v>
      </c>
    </row>
    <row r="3" spans="1:15" x14ac:dyDescent="0.3">
      <c r="A3" s="12">
        <v>0</v>
      </c>
      <c r="B3" s="8"/>
      <c r="C3" s="8"/>
      <c r="D3" s="8" t="s">
        <v>24</v>
      </c>
      <c r="E3" s="8">
        <f t="shared" ref="E3" si="0">SUM(J3:L3)+1.62</f>
        <v>1.62</v>
      </c>
      <c r="F3" s="8">
        <f t="shared" ref="F3" si="1">SUM(J3:L3)+0.0625+1.62</f>
        <v>1.6825000000000001</v>
      </c>
      <c r="G3" s="12">
        <f t="shared" ref="G3" si="2">SUM(J3:L3)</f>
        <v>0</v>
      </c>
      <c r="H3" s="12">
        <f t="shared" ref="H3" si="3">SUM(J3:L3)+0.0625</f>
        <v>6.25E-2</v>
      </c>
      <c r="I3" s="8">
        <f t="shared" ref="I3" si="4">SUM(J3:K3)+M3</f>
        <v>1.62</v>
      </c>
      <c r="J3" s="9"/>
      <c r="K3" s="9"/>
      <c r="L3" s="9"/>
      <c r="M3" s="9">
        <v>1.62</v>
      </c>
      <c r="N3" s="1"/>
      <c r="O3" s="1"/>
    </row>
    <row r="4" spans="1:15" x14ac:dyDescent="0.3">
      <c r="A4" s="12">
        <v>1</v>
      </c>
      <c r="B4" s="8" t="s">
        <v>7</v>
      </c>
      <c r="C4" s="8"/>
      <c r="D4" s="8" t="s">
        <v>24</v>
      </c>
      <c r="E4" s="8">
        <f t="shared" ref="E4:E44" si="5">SUM(J4:L4)+1.62</f>
        <v>1.27</v>
      </c>
      <c r="F4" s="8">
        <f t="shared" ref="F4:F44" si="6">SUM(J4:L4)+0.0625+1.62</f>
        <v>1.3325</v>
      </c>
      <c r="G4" s="12">
        <f t="shared" ref="G4:G44" si="7">SUM(J4:L4)</f>
        <v>-0.35</v>
      </c>
      <c r="H4" s="12">
        <f t="shared" ref="H4:H44" si="8">SUM(J4:L4)+0.0625</f>
        <v>-0.28749999999999998</v>
      </c>
      <c r="I4" s="8">
        <f t="shared" ref="I4:I44" si="9">SUM(J4:K4)+M4</f>
        <v>1.27</v>
      </c>
      <c r="J4" s="9">
        <v>-0.35</v>
      </c>
      <c r="K4" s="9"/>
      <c r="L4" s="9"/>
      <c r="M4" s="9">
        <v>1.62</v>
      </c>
      <c r="N4" s="1"/>
      <c r="O4" s="1"/>
    </row>
    <row r="5" spans="1:15" x14ac:dyDescent="0.3">
      <c r="A5" s="12">
        <v>2</v>
      </c>
      <c r="B5" s="8"/>
      <c r="C5" s="8" t="s">
        <v>11</v>
      </c>
      <c r="D5" s="8" t="s">
        <v>24</v>
      </c>
      <c r="E5" s="8">
        <f t="shared" si="5"/>
        <v>1.27</v>
      </c>
      <c r="F5" s="8">
        <f t="shared" si="6"/>
        <v>1.3325</v>
      </c>
      <c r="G5" s="12">
        <f t="shared" si="7"/>
        <v>-0.35</v>
      </c>
      <c r="H5" s="12">
        <f t="shared" si="8"/>
        <v>-0.28749999999999998</v>
      </c>
      <c r="I5" s="8">
        <f t="shared" si="9"/>
        <v>1.27</v>
      </c>
      <c r="J5" s="9"/>
      <c r="K5" s="9">
        <v>-0.35</v>
      </c>
      <c r="L5" s="9"/>
      <c r="M5" s="9">
        <v>1.62</v>
      </c>
      <c r="N5" s="1"/>
      <c r="O5" s="1"/>
    </row>
    <row r="6" spans="1:15" x14ac:dyDescent="0.3">
      <c r="A6" s="12">
        <v>3</v>
      </c>
      <c r="B6" s="8"/>
      <c r="C6" s="8" t="s">
        <v>57</v>
      </c>
      <c r="D6" s="8" t="s">
        <v>24</v>
      </c>
      <c r="E6" s="8">
        <f t="shared" si="5"/>
        <v>1.52</v>
      </c>
      <c r="F6" s="8">
        <f t="shared" si="6"/>
        <v>1.5825</v>
      </c>
      <c r="G6" s="12">
        <f t="shared" si="7"/>
        <v>-0.1</v>
      </c>
      <c r="H6" s="12">
        <f t="shared" si="8"/>
        <v>-3.7500000000000006E-2</v>
      </c>
      <c r="I6" s="8">
        <f t="shared" si="9"/>
        <v>1.52</v>
      </c>
      <c r="J6" s="9"/>
      <c r="K6" s="9">
        <v>-0.1</v>
      </c>
      <c r="L6" s="9"/>
      <c r="M6" s="9">
        <v>1.62</v>
      </c>
      <c r="N6" s="1"/>
      <c r="O6" s="1"/>
    </row>
    <row r="7" spans="1:15" x14ac:dyDescent="0.3">
      <c r="A7" s="12">
        <v>4</v>
      </c>
      <c r="B7" s="8" t="s">
        <v>7</v>
      </c>
      <c r="C7" s="8" t="s">
        <v>11</v>
      </c>
      <c r="D7" s="8" t="s">
        <v>24</v>
      </c>
      <c r="E7" s="8">
        <f t="shared" si="5"/>
        <v>1.27</v>
      </c>
      <c r="F7" s="8">
        <f t="shared" si="6"/>
        <v>1.3325</v>
      </c>
      <c r="G7" s="12">
        <f t="shared" si="7"/>
        <v>-0.35</v>
      </c>
      <c r="H7" s="12">
        <f t="shared" si="8"/>
        <v>-0.28749999999999998</v>
      </c>
      <c r="I7" s="8">
        <f t="shared" si="9"/>
        <v>1.27</v>
      </c>
      <c r="J7" s="9">
        <v>0</v>
      </c>
      <c r="K7" s="9">
        <v>-0.35</v>
      </c>
      <c r="L7" s="9"/>
      <c r="M7" s="9">
        <v>1.62</v>
      </c>
      <c r="N7" s="1"/>
      <c r="O7" s="1"/>
    </row>
    <row r="8" spans="1:15" x14ac:dyDescent="0.3">
      <c r="A8" s="12">
        <v>5</v>
      </c>
      <c r="B8" s="8" t="s">
        <v>7</v>
      </c>
      <c r="C8" s="8" t="s">
        <v>57</v>
      </c>
      <c r="D8" s="8" t="s">
        <v>24</v>
      </c>
      <c r="E8" s="8">
        <f t="shared" si="5"/>
        <v>1.52</v>
      </c>
      <c r="F8" s="8">
        <f t="shared" si="6"/>
        <v>1.5825</v>
      </c>
      <c r="G8" s="12">
        <f t="shared" si="7"/>
        <v>-0.1</v>
      </c>
      <c r="H8" s="12">
        <f t="shared" si="8"/>
        <v>-3.7500000000000006E-2</v>
      </c>
      <c r="I8" s="8">
        <f t="shared" si="9"/>
        <v>1.52</v>
      </c>
      <c r="J8" s="9">
        <v>0</v>
      </c>
      <c r="K8" s="9">
        <v>-0.1</v>
      </c>
      <c r="L8" s="9"/>
      <c r="M8" s="9">
        <v>1.62</v>
      </c>
      <c r="N8" s="1"/>
      <c r="O8" s="1"/>
    </row>
    <row r="9" spans="1:15" x14ac:dyDescent="0.3">
      <c r="A9" s="12">
        <v>6</v>
      </c>
      <c r="B9" s="8"/>
      <c r="C9" s="8"/>
      <c r="D9" s="8" t="s">
        <v>25</v>
      </c>
      <c r="E9" s="8">
        <f t="shared" si="5"/>
        <v>1.9450000000000001</v>
      </c>
      <c r="F9" s="8">
        <f t="shared" si="6"/>
        <v>2.0075000000000003</v>
      </c>
      <c r="G9" s="12">
        <f t="shared" si="7"/>
        <v>0.32500000000000001</v>
      </c>
      <c r="H9" s="12">
        <f t="shared" si="8"/>
        <v>0.38750000000000001</v>
      </c>
      <c r="I9" s="8">
        <f t="shared" si="9"/>
        <v>0.76500000000000001</v>
      </c>
      <c r="J9" s="9"/>
      <c r="K9" s="9"/>
      <c r="L9" s="9">
        <v>0.32500000000000001</v>
      </c>
      <c r="M9" s="9">
        <v>0.76500000000000001</v>
      </c>
      <c r="N9" s="1"/>
      <c r="O9" s="1"/>
    </row>
    <row r="10" spans="1:15" x14ac:dyDescent="0.3">
      <c r="A10" s="12">
        <v>7</v>
      </c>
      <c r="B10" s="8"/>
      <c r="C10" s="8"/>
      <c r="D10" s="8" t="s">
        <v>26</v>
      </c>
      <c r="E10" s="8">
        <f t="shared" si="5"/>
        <v>2.145</v>
      </c>
      <c r="F10" s="8">
        <f t="shared" si="6"/>
        <v>2.2075</v>
      </c>
      <c r="G10" s="12">
        <f t="shared" si="7"/>
        <v>0.52500000000000002</v>
      </c>
      <c r="H10" s="12">
        <f t="shared" si="8"/>
        <v>0.58750000000000002</v>
      </c>
      <c r="I10" s="8">
        <f t="shared" si="9"/>
        <v>1.425</v>
      </c>
      <c r="J10" s="9"/>
      <c r="K10" s="9"/>
      <c r="L10" s="9">
        <v>0.52500000000000002</v>
      </c>
      <c r="M10" s="9">
        <v>1.425</v>
      </c>
      <c r="N10" s="1"/>
      <c r="O10" s="1"/>
    </row>
    <row r="11" spans="1:15" x14ac:dyDescent="0.3">
      <c r="A11" s="12">
        <v>8</v>
      </c>
      <c r="B11" s="8"/>
      <c r="C11" s="8"/>
      <c r="D11" s="8" t="s">
        <v>12</v>
      </c>
      <c r="E11" s="8">
        <f t="shared" si="5"/>
        <v>2.2200000000000002</v>
      </c>
      <c r="F11" s="8">
        <f t="shared" si="6"/>
        <v>2.2825000000000002</v>
      </c>
      <c r="G11" s="12">
        <f t="shared" si="7"/>
        <v>0.6</v>
      </c>
      <c r="H11" s="12">
        <f t="shared" si="8"/>
        <v>0.66249999999999998</v>
      </c>
      <c r="I11" s="8">
        <f t="shared" si="9"/>
        <v>1.52</v>
      </c>
      <c r="J11" s="9"/>
      <c r="K11" s="9"/>
      <c r="L11" s="9">
        <v>0.6</v>
      </c>
      <c r="M11" s="9">
        <v>1.52</v>
      </c>
      <c r="N11" s="1"/>
      <c r="O11" s="1"/>
    </row>
    <row r="12" spans="1:15" x14ac:dyDescent="0.3">
      <c r="A12" s="12">
        <v>9</v>
      </c>
      <c r="B12" s="8"/>
      <c r="C12" s="8"/>
      <c r="D12" s="8" t="s">
        <v>13</v>
      </c>
      <c r="E12" s="8">
        <f t="shared" si="5"/>
        <v>2.2825000000000002</v>
      </c>
      <c r="F12" s="8">
        <f t="shared" si="6"/>
        <v>2.3450000000000002</v>
      </c>
      <c r="G12" s="12">
        <f t="shared" si="7"/>
        <v>0.66249999999999998</v>
      </c>
      <c r="H12" s="12">
        <f t="shared" si="8"/>
        <v>0.72499999999999998</v>
      </c>
      <c r="I12" s="8">
        <f t="shared" si="9"/>
        <v>1.52</v>
      </c>
      <c r="J12" s="9"/>
      <c r="K12" s="9"/>
      <c r="L12" s="9">
        <v>0.66249999999999998</v>
      </c>
      <c r="M12" s="9">
        <v>1.52</v>
      </c>
      <c r="N12" s="1"/>
      <c r="O12" s="1"/>
    </row>
    <row r="13" spans="1:15" x14ac:dyDescent="0.3">
      <c r="A13" s="12">
        <v>10</v>
      </c>
      <c r="B13" s="8"/>
      <c r="C13" s="8"/>
      <c r="D13" s="8" t="s">
        <v>14</v>
      </c>
      <c r="E13" s="8">
        <f t="shared" si="5"/>
        <v>2.3920000000000003</v>
      </c>
      <c r="F13" s="8">
        <f t="shared" si="6"/>
        <v>2.4545000000000003</v>
      </c>
      <c r="G13" s="12">
        <f t="shared" si="7"/>
        <v>0.77200000000000002</v>
      </c>
      <c r="H13" s="12">
        <f t="shared" si="8"/>
        <v>0.83450000000000002</v>
      </c>
      <c r="I13" s="8">
        <f t="shared" si="9"/>
        <v>1.7765</v>
      </c>
      <c r="J13" s="9"/>
      <c r="K13" s="9"/>
      <c r="L13" s="9">
        <v>0.77200000000000002</v>
      </c>
      <c r="M13" s="9">
        <v>1.7765</v>
      </c>
      <c r="N13" s="1"/>
      <c r="O13" s="1"/>
    </row>
    <row r="14" spans="1:15" x14ac:dyDescent="0.3">
      <c r="A14" s="12">
        <v>11</v>
      </c>
      <c r="B14" s="8"/>
      <c r="C14" s="8"/>
      <c r="D14" s="8" t="s">
        <v>27</v>
      </c>
      <c r="E14" s="8">
        <f t="shared" si="5"/>
        <v>2.4700000000000002</v>
      </c>
      <c r="F14" s="8">
        <f t="shared" si="6"/>
        <v>2.5325000000000002</v>
      </c>
      <c r="G14" s="12">
        <f t="shared" si="7"/>
        <v>0.85</v>
      </c>
      <c r="H14" s="12">
        <f t="shared" si="8"/>
        <v>0.91249999999999998</v>
      </c>
      <c r="I14" s="8">
        <f t="shared" si="9"/>
        <v>1.52</v>
      </c>
      <c r="J14" s="9"/>
      <c r="K14" s="9"/>
      <c r="L14" s="9">
        <v>0.85</v>
      </c>
      <c r="M14" s="9">
        <v>1.52</v>
      </c>
      <c r="N14" s="1"/>
      <c r="O14" s="1"/>
    </row>
    <row r="15" spans="1:15" x14ac:dyDescent="0.3">
      <c r="A15" s="12">
        <v>12</v>
      </c>
      <c r="B15" s="8"/>
      <c r="C15" s="8"/>
      <c r="D15" s="8" t="s">
        <v>15</v>
      </c>
      <c r="E15" s="8">
        <f t="shared" si="5"/>
        <v>2.7800000000000002</v>
      </c>
      <c r="F15" s="8">
        <f t="shared" si="6"/>
        <v>2.8425000000000002</v>
      </c>
      <c r="G15" s="12">
        <f t="shared" si="7"/>
        <v>1.1599999999999999</v>
      </c>
      <c r="H15" s="12">
        <f t="shared" si="8"/>
        <v>1.2224999999999999</v>
      </c>
      <c r="I15" s="8">
        <f t="shared" si="9"/>
        <v>1.4450000000000001</v>
      </c>
      <c r="J15" s="9"/>
      <c r="K15" s="9"/>
      <c r="L15" s="9">
        <v>1.1599999999999999</v>
      </c>
      <c r="M15" s="9">
        <v>1.4450000000000001</v>
      </c>
      <c r="N15" s="1"/>
      <c r="O15" s="1"/>
    </row>
    <row r="16" spans="1:15" x14ac:dyDescent="0.3">
      <c r="A16" s="12">
        <v>13</v>
      </c>
      <c r="B16" s="8"/>
      <c r="C16" s="8"/>
      <c r="D16" s="8" t="s">
        <v>16</v>
      </c>
      <c r="E16" s="8">
        <f t="shared" si="5"/>
        <v>4.43</v>
      </c>
      <c r="F16" s="8">
        <f t="shared" si="6"/>
        <v>4.4924999999999997</v>
      </c>
      <c r="G16" s="12">
        <f t="shared" si="7"/>
        <v>2.81</v>
      </c>
      <c r="H16" s="12">
        <f t="shared" si="8"/>
        <v>2.8725000000000001</v>
      </c>
      <c r="I16" s="8">
        <f t="shared" si="9"/>
        <v>1.4450000000000001</v>
      </c>
      <c r="J16" s="9"/>
      <c r="K16" s="9"/>
      <c r="L16" s="9">
        <v>2.81</v>
      </c>
      <c r="M16" s="9">
        <v>1.4450000000000001</v>
      </c>
      <c r="N16" s="1"/>
      <c r="O16" s="1"/>
    </row>
    <row r="17" spans="1:15" x14ac:dyDescent="0.3">
      <c r="A17" s="12">
        <v>14</v>
      </c>
      <c r="B17" s="8"/>
      <c r="C17" s="8"/>
      <c r="D17" s="8" t="s">
        <v>63</v>
      </c>
      <c r="E17" s="8">
        <f t="shared" si="5"/>
        <v>1.8150000000000002</v>
      </c>
      <c r="F17" s="8">
        <f t="shared" si="6"/>
        <v>1.8775000000000002</v>
      </c>
      <c r="G17" s="12">
        <f t="shared" si="7"/>
        <v>0.19500000000000001</v>
      </c>
      <c r="H17" s="12">
        <f t="shared" si="8"/>
        <v>0.25750000000000001</v>
      </c>
      <c r="I17" s="8">
        <f t="shared" si="9"/>
        <v>2.2749999999999999</v>
      </c>
      <c r="J17" s="9"/>
      <c r="K17" s="9"/>
      <c r="L17" s="9">
        <v>0.19500000000000001</v>
      </c>
      <c r="M17" s="9">
        <v>2.2749999999999999</v>
      </c>
      <c r="N17" s="1"/>
      <c r="O17" s="1"/>
    </row>
    <row r="18" spans="1:15" x14ac:dyDescent="0.3">
      <c r="A18" s="12">
        <v>15</v>
      </c>
      <c r="B18" s="8"/>
      <c r="C18" s="8"/>
      <c r="D18" s="8" t="s">
        <v>64</v>
      </c>
      <c r="E18" s="8">
        <f t="shared" si="5"/>
        <v>3.0449999999999999</v>
      </c>
      <c r="F18" s="8">
        <f t="shared" si="6"/>
        <v>3.1074999999999999</v>
      </c>
      <c r="G18" s="12">
        <f t="shared" si="7"/>
        <v>1.425</v>
      </c>
      <c r="H18" s="12">
        <f t="shared" si="8"/>
        <v>1.4875</v>
      </c>
      <c r="I18" s="8">
        <f t="shared" si="9"/>
        <v>1.0449999999999999</v>
      </c>
      <c r="J18" s="9"/>
      <c r="K18" s="9"/>
      <c r="L18" s="9">
        <v>1.425</v>
      </c>
      <c r="M18" s="9">
        <v>1.0449999999999999</v>
      </c>
      <c r="N18" s="1"/>
      <c r="O18" s="1"/>
    </row>
    <row r="19" spans="1:15" x14ac:dyDescent="0.3">
      <c r="A19" s="12">
        <v>16</v>
      </c>
      <c r="B19" s="8" t="s">
        <v>7</v>
      </c>
      <c r="C19" s="8"/>
      <c r="D19" s="8" t="s">
        <v>25</v>
      </c>
      <c r="E19" s="8">
        <f t="shared" si="5"/>
        <v>2.085</v>
      </c>
      <c r="F19" s="8">
        <f t="shared" si="6"/>
        <v>2.1475</v>
      </c>
      <c r="G19" s="12">
        <f t="shared" si="7"/>
        <v>0.46500000000000002</v>
      </c>
      <c r="H19" s="12">
        <f t="shared" si="8"/>
        <v>0.52750000000000008</v>
      </c>
      <c r="I19" s="8">
        <f t="shared" si="9"/>
        <v>0.90500000000000003</v>
      </c>
      <c r="J19" s="9">
        <v>0.14000000000000001</v>
      </c>
      <c r="K19" s="9"/>
      <c r="L19" s="9">
        <v>0.32500000000000001</v>
      </c>
      <c r="M19" s="9">
        <v>0.76500000000000001</v>
      </c>
      <c r="N19" s="1"/>
      <c r="O19" s="1"/>
    </row>
    <row r="20" spans="1:15" x14ac:dyDescent="0.3">
      <c r="A20" s="12">
        <v>17</v>
      </c>
      <c r="B20" s="8" t="s">
        <v>7</v>
      </c>
      <c r="C20" s="8"/>
      <c r="D20" s="8" t="s">
        <v>26</v>
      </c>
      <c r="E20" s="8">
        <f t="shared" si="5"/>
        <v>2.2850000000000001</v>
      </c>
      <c r="F20" s="8">
        <f t="shared" si="6"/>
        <v>2.3475000000000001</v>
      </c>
      <c r="G20" s="12">
        <f t="shared" si="7"/>
        <v>0.66500000000000004</v>
      </c>
      <c r="H20" s="12">
        <f t="shared" si="8"/>
        <v>0.72750000000000004</v>
      </c>
      <c r="I20" s="8">
        <f t="shared" si="9"/>
        <v>1.5649999999999999</v>
      </c>
      <c r="J20" s="9">
        <v>0.14000000000000001</v>
      </c>
      <c r="K20" s="9"/>
      <c r="L20" s="9">
        <v>0.52500000000000002</v>
      </c>
      <c r="M20" s="9">
        <v>1.425</v>
      </c>
      <c r="N20" s="1"/>
      <c r="O20" s="1"/>
    </row>
    <row r="21" spans="1:15" x14ac:dyDescent="0.3">
      <c r="A21" s="12">
        <v>18</v>
      </c>
      <c r="B21" s="8" t="s">
        <v>7</v>
      </c>
      <c r="C21" s="8"/>
      <c r="D21" s="8" t="s">
        <v>12</v>
      </c>
      <c r="E21" s="8">
        <f t="shared" si="5"/>
        <v>2.3600000000000003</v>
      </c>
      <c r="F21" s="8">
        <f t="shared" si="6"/>
        <v>2.4225000000000003</v>
      </c>
      <c r="G21" s="12">
        <f t="shared" si="7"/>
        <v>0.74</v>
      </c>
      <c r="H21" s="12">
        <f t="shared" si="8"/>
        <v>0.80249999999999999</v>
      </c>
      <c r="I21" s="8">
        <f t="shared" si="9"/>
        <v>1.6600000000000001</v>
      </c>
      <c r="J21" s="9">
        <v>0.14000000000000001</v>
      </c>
      <c r="K21" s="9"/>
      <c r="L21" s="9">
        <v>0.6</v>
      </c>
      <c r="M21" s="9">
        <v>1.52</v>
      </c>
      <c r="N21" s="1"/>
      <c r="O21" s="1"/>
    </row>
    <row r="22" spans="1:15" x14ac:dyDescent="0.3">
      <c r="A22" s="12">
        <v>19</v>
      </c>
      <c r="B22" s="8" t="s">
        <v>7</v>
      </c>
      <c r="C22" s="8"/>
      <c r="D22" s="8" t="s">
        <v>13</v>
      </c>
      <c r="E22" s="8">
        <f t="shared" si="5"/>
        <v>2.4225000000000003</v>
      </c>
      <c r="F22" s="8">
        <f t="shared" si="6"/>
        <v>2.4850000000000003</v>
      </c>
      <c r="G22" s="12">
        <f t="shared" si="7"/>
        <v>0.80249999999999999</v>
      </c>
      <c r="H22" s="12">
        <f t="shared" si="8"/>
        <v>0.86499999999999999</v>
      </c>
      <c r="I22" s="8">
        <f t="shared" si="9"/>
        <v>1.6600000000000001</v>
      </c>
      <c r="J22" s="9">
        <v>0.14000000000000001</v>
      </c>
      <c r="K22" s="9"/>
      <c r="L22" s="9">
        <v>0.66249999999999998</v>
      </c>
      <c r="M22" s="9">
        <v>1.52</v>
      </c>
      <c r="N22" s="1"/>
      <c r="O22" s="1"/>
    </row>
    <row r="23" spans="1:15" x14ac:dyDescent="0.3">
      <c r="A23" s="12">
        <v>20</v>
      </c>
      <c r="B23" s="8" t="s">
        <v>7</v>
      </c>
      <c r="C23" s="8"/>
      <c r="D23" s="8" t="s">
        <v>14</v>
      </c>
      <c r="E23" s="8">
        <f t="shared" si="5"/>
        <v>2.532</v>
      </c>
      <c r="F23" s="8">
        <f t="shared" si="6"/>
        <v>2.5945</v>
      </c>
      <c r="G23" s="12">
        <f t="shared" si="7"/>
        <v>0.91200000000000003</v>
      </c>
      <c r="H23" s="12">
        <f t="shared" si="8"/>
        <v>0.97450000000000003</v>
      </c>
      <c r="I23" s="8">
        <f t="shared" si="9"/>
        <v>1.9165000000000001</v>
      </c>
      <c r="J23" s="9">
        <v>0.14000000000000001</v>
      </c>
      <c r="K23" s="9"/>
      <c r="L23" s="9">
        <v>0.77200000000000002</v>
      </c>
      <c r="M23" s="9">
        <v>1.7765</v>
      </c>
      <c r="N23" s="1"/>
      <c r="O23" s="1"/>
    </row>
    <row r="24" spans="1:15" x14ac:dyDescent="0.3">
      <c r="A24" s="12">
        <v>21</v>
      </c>
      <c r="B24" s="8" t="s">
        <v>7</v>
      </c>
      <c r="C24" s="8"/>
      <c r="D24" s="8" t="s">
        <v>27</v>
      </c>
      <c r="E24" s="8">
        <f t="shared" si="5"/>
        <v>2.6100000000000003</v>
      </c>
      <c r="F24" s="8">
        <f t="shared" si="6"/>
        <v>2.6725000000000003</v>
      </c>
      <c r="G24" s="12">
        <f t="shared" si="7"/>
        <v>0.99</v>
      </c>
      <c r="H24" s="12">
        <f t="shared" si="8"/>
        <v>1.0525</v>
      </c>
      <c r="I24" s="8">
        <f t="shared" si="9"/>
        <v>1.6600000000000001</v>
      </c>
      <c r="J24" s="9">
        <v>0.14000000000000001</v>
      </c>
      <c r="K24" s="9"/>
      <c r="L24" s="9">
        <v>0.85</v>
      </c>
      <c r="M24" s="9">
        <v>1.52</v>
      </c>
      <c r="N24" s="1"/>
      <c r="O24" s="1"/>
    </row>
    <row r="25" spans="1:15" x14ac:dyDescent="0.3">
      <c r="A25" s="12">
        <v>22</v>
      </c>
      <c r="B25" s="8" t="s">
        <v>7</v>
      </c>
      <c r="C25" s="8"/>
      <c r="D25" s="8" t="s">
        <v>15</v>
      </c>
      <c r="E25" s="8">
        <f t="shared" si="5"/>
        <v>2.92</v>
      </c>
      <c r="F25" s="8">
        <f t="shared" si="6"/>
        <v>2.9824999999999999</v>
      </c>
      <c r="G25" s="12">
        <f t="shared" si="7"/>
        <v>1.2999999999999998</v>
      </c>
      <c r="H25" s="12">
        <f t="shared" si="8"/>
        <v>1.3624999999999998</v>
      </c>
      <c r="I25" s="8">
        <f t="shared" si="9"/>
        <v>1.585</v>
      </c>
      <c r="J25" s="9">
        <v>0.14000000000000001</v>
      </c>
      <c r="K25" s="9"/>
      <c r="L25" s="9">
        <v>1.1599999999999999</v>
      </c>
      <c r="M25" s="9">
        <v>1.4450000000000001</v>
      </c>
      <c r="N25" s="1"/>
      <c r="O25" s="1"/>
    </row>
    <row r="26" spans="1:15" x14ac:dyDescent="0.3">
      <c r="A26" s="12">
        <v>23</v>
      </c>
      <c r="B26" s="8" t="s">
        <v>7</v>
      </c>
      <c r="C26" s="8"/>
      <c r="D26" s="8" t="s">
        <v>16</v>
      </c>
      <c r="E26" s="8">
        <f t="shared" si="5"/>
        <v>4.57</v>
      </c>
      <c r="F26" s="8">
        <f t="shared" si="6"/>
        <v>4.6325000000000003</v>
      </c>
      <c r="G26" s="12">
        <f t="shared" si="7"/>
        <v>2.95</v>
      </c>
      <c r="H26" s="12">
        <f t="shared" si="8"/>
        <v>3.0125000000000002</v>
      </c>
      <c r="I26" s="8">
        <f t="shared" si="9"/>
        <v>1.585</v>
      </c>
      <c r="J26" s="9">
        <v>0.14000000000000001</v>
      </c>
      <c r="K26" s="9"/>
      <c r="L26" s="9">
        <v>2.81</v>
      </c>
      <c r="M26" s="9">
        <v>1.4450000000000001</v>
      </c>
      <c r="N26" s="1"/>
      <c r="O26" s="1"/>
    </row>
    <row r="27" spans="1:15" x14ac:dyDescent="0.3">
      <c r="A27" s="12">
        <v>24</v>
      </c>
      <c r="B27" s="8" t="s">
        <v>7</v>
      </c>
      <c r="C27" s="8"/>
      <c r="D27" s="8" t="s">
        <v>63</v>
      </c>
      <c r="E27" s="8">
        <f t="shared" si="5"/>
        <v>1.9550000000000001</v>
      </c>
      <c r="F27" s="8">
        <f t="shared" si="6"/>
        <v>2.0175000000000001</v>
      </c>
      <c r="G27" s="12">
        <f t="shared" si="7"/>
        <v>0.33500000000000002</v>
      </c>
      <c r="H27" s="12">
        <f t="shared" si="8"/>
        <v>0.39750000000000002</v>
      </c>
      <c r="I27" s="8">
        <f t="shared" si="9"/>
        <v>2.415</v>
      </c>
      <c r="J27" s="9">
        <v>0.14000000000000001</v>
      </c>
      <c r="K27" s="9"/>
      <c r="L27" s="9">
        <v>0.19500000000000001</v>
      </c>
      <c r="M27" s="9">
        <v>2.2749999999999999</v>
      </c>
      <c r="N27" s="1"/>
      <c r="O27" s="1"/>
    </row>
    <row r="28" spans="1:15" x14ac:dyDescent="0.3">
      <c r="A28" s="12">
        <v>25</v>
      </c>
      <c r="B28" s="8" t="s">
        <v>7</v>
      </c>
      <c r="C28" s="8"/>
      <c r="D28" s="8" t="s">
        <v>64</v>
      </c>
      <c r="E28" s="8">
        <f t="shared" si="5"/>
        <v>3.1850000000000001</v>
      </c>
      <c r="F28" s="8">
        <f t="shared" si="6"/>
        <v>3.2475000000000001</v>
      </c>
      <c r="G28" s="12">
        <f t="shared" si="7"/>
        <v>1.5649999999999999</v>
      </c>
      <c r="H28" s="12">
        <f t="shared" si="8"/>
        <v>1.6274999999999999</v>
      </c>
      <c r="I28" s="8">
        <f t="shared" si="9"/>
        <v>1.1850000000000001</v>
      </c>
      <c r="J28" s="9">
        <v>0.14000000000000001</v>
      </c>
      <c r="K28" s="9"/>
      <c r="L28" s="9">
        <v>1.425</v>
      </c>
      <c r="M28" s="9">
        <v>1.0449999999999999</v>
      </c>
      <c r="N28" s="1"/>
      <c r="O28" s="1"/>
    </row>
    <row r="29" spans="1:15" x14ac:dyDescent="0.3">
      <c r="A29" s="12">
        <v>26</v>
      </c>
      <c r="B29" s="8"/>
      <c r="C29" s="8" t="s">
        <v>11</v>
      </c>
      <c r="D29" s="8" t="s">
        <v>25</v>
      </c>
      <c r="E29" s="8">
        <f t="shared" si="5"/>
        <v>2.085</v>
      </c>
      <c r="F29" s="8">
        <f t="shared" si="6"/>
        <v>2.1475</v>
      </c>
      <c r="G29" s="12">
        <f t="shared" si="7"/>
        <v>0.46500000000000002</v>
      </c>
      <c r="H29" s="12">
        <f t="shared" si="8"/>
        <v>0.52750000000000008</v>
      </c>
      <c r="I29" s="8">
        <f t="shared" si="9"/>
        <v>0.90500000000000003</v>
      </c>
      <c r="J29" s="9"/>
      <c r="K29" s="9">
        <v>0.14000000000000001</v>
      </c>
      <c r="L29" s="9">
        <v>0.32500000000000001</v>
      </c>
      <c r="M29" s="9">
        <v>0.76500000000000001</v>
      </c>
      <c r="N29" s="1"/>
      <c r="O29" s="1"/>
    </row>
    <row r="30" spans="1:15" x14ac:dyDescent="0.3">
      <c r="A30" s="12">
        <v>27</v>
      </c>
      <c r="B30" s="8"/>
      <c r="C30" s="8" t="s">
        <v>11</v>
      </c>
      <c r="D30" s="8" t="s">
        <v>14</v>
      </c>
      <c r="E30" s="8">
        <f t="shared" si="5"/>
        <v>2.532</v>
      </c>
      <c r="F30" s="8">
        <f t="shared" si="6"/>
        <v>2.5945</v>
      </c>
      <c r="G30" s="12">
        <f t="shared" si="7"/>
        <v>0.91200000000000003</v>
      </c>
      <c r="H30" s="12">
        <f t="shared" si="8"/>
        <v>0.97450000000000003</v>
      </c>
      <c r="I30" s="8">
        <f t="shared" si="9"/>
        <v>1.9165000000000001</v>
      </c>
      <c r="J30" s="9"/>
      <c r="K30" s="9">
        <v>0.14000000000000001</v>
      </c>
      <c r="L30" s="9">
        <v>0.77200000000000002</v>
      </c>
      <c r="M30" s="9">
        <v>1.7765</v>
      </c>
      <c r="N30" s="1"/>
      <c r="O30" s="1"/>
    </row>
    <row r="31" spans="1:15" x14ac:dyDescent="0.3">
      <c r="A31" s="12">
        <v>28</v>
      </c>
      <c r="B31" s="8"/>
      <c r="C31" s="8" t="s">
        <v>11</v>
      </c>
      <c r="D31" s="8" t="s">
        <v>15</v>
      </c>
      <c r="E31" s="8">
        <f t="shared" si="5"/>
        <v>2.92</v>
      </c>
      <c r="F31" s="8">
        <f t="shared" si="6"/>
        <v>2.9824999999999999</v>
      </c>
      <c r="G31" s="12">
        <f t="shared" si="7"/>
        <v>1.2999999999999998</v>
      </c>
      <c r="H31" s="12">
        <f t="shared" si="8"/>
        <v>1.3624999999999998</v>
      </c>
      <c r="I31" s="8">
        <f t="shared" si="9"/>
        <v>1.585</v>
      </c>
      <c r="J31" s="9"/>
      <c r="K31" s="9">
        <v>0.14000000000000001</v>
      </c>
      <c r="L31" s="9">
        <v>1.1599999999999999</v>
      </c>
      <c r="M31" s="9">
        <v>1.4450000000000001</v>
      </c>
      <c r="N31" s="1"/>
      <c r="O31" s="1"/>
    </row>
    <row r="32" spans="1:15" x14ac:dyDescent="0.3">
      <c r="A32" s="12">
        <v>29</v>
      </c>
      <c r="B32" s="8"/>
      <c r="C32" s="8" t="s">
        <v>11</v>
      </c>
      <c r="D32" s="8" t="s">
        <v>16</v>
      </c>
      <c r="E32" s="8">
        <f t="shared" si="5"/>
        <v>4.57</v>
      </c>
      <c r="F32" s="8">
        <f t="shared" si="6"/>
        <v>4.6325000000000003</v>
      </c>
      <c r="G32" s="12">
        <f t="shared" si="7"/>
        <v>2.95</v>
      </c>
      <c r="H32" s="12">
        <f t="shared" si="8"/>
        <v>3.0125000000000002</v>
      </c>
      <c r="I32" s="8">
        <f t="shared" si="9"/>
        <v>1.585</v>
      </c>
      <c r="J32" s="9"/>
      <c r="K32" s="9">
        <v>0.14000000000000001</v>
      </c>
      <c r="L32" s="9">
        <v>2.81</v>
      </c>
      <c r="M32" s="9">
        <v>1.4450000000000001</v>
      </c>
      <c r="N32" s="1"/>
      <c r="O32" s="1"/>
    </row>
    <row r="33" spans="1:15" x14ac:dyDescent="0.3">
      <c r="A33" s="12">
        <v>30</v>
      </c>
      <c r="B33" s="8"/>
      <c r="C33" s="8" t="s">
        <v>57</v>
      </c>
      <c r="D33" s="8" t="s">
        <v>25</v>
      </c>
      <c r="E33" s="8">
        <f t="shared" si="5"/>
        <v>2.335</v>
      </c>
      <c r="F33" s="8">
        <f t="shared" si="6"/>
        <v>2.3975</v>
      </c>
      <c r="G33" s="12">
        <f t="shared" si="7"/>
        <v>0.71500000000000008</v>
      </c>
      <c r="H33" s="12">
        <f t="shared" si="8"/>
        <v>0.77750000000000008</v>
      </c>
      <c r="I33" s="8">
        <f t="shared" si="9"/>
        <v>1.155</v>
      </c>
      <c r="J33" s="9"/>
      <c r="K33" s="9">
        <v>0.39</v>
      </c>
      <c r="L33" s="9">
        <v>0.32500000000000001</v>
      </c>
      <c r="M33" s="9">
        <v>0.76500000000000001</v>
      </c>
      <c r="N33" s="1"/>
      <c r="O33" s="1"/>
    </row>
    <row r="34" spans="1:15" x14ac:dyDescent="0.3">
      <c r="A34" s="12">
        <v>31</v>
      </c>
      <c r="B34" s="8"/>
      <c r="C34" s="8" t="s">
        <v>57</v>
      </c>
      <c r="D34" s="8" t="s">
        <v>14</v>
      </c>
      <c r="E34" s="8">
        <f t="shared" si="5"/>
        <v>2.782</v>
      </c>
      <c r="F34" s="8">
        <f t="shared" si="6"/>
        <v>2.8445</v>
      </c>
      <c r="G34" s="12">
        <f t="shared" si="7"/>
        <v>1.1619999999999999</v>
      </c>
      <c r="H34" s="12">
        <f t="shared" si="8"/>
        <v>1.2244999999999999</v>
      </c>
      <c r="I34" s="8">
        <f t="shared" si="9"/>
        <v>2.1665000000000001</v>
      </c>
      <c r="J34" s="9"/>
      <c r="K34" s="9">
        <v>0.39</v>
      </c>
      <c r="L34" s="9">
        <v>0.77200000000000002</v>
      </c>
      <c r="M34" s="9">
        <v>1.7765</v>
      </c>
      <c r="N34" s="1"/>
      <c r="O34" s="1"/>
    </row>
    <row r="35" spans="1:15" x14ac:dyDescent="0.3">
      <c r="A35" s="12">
        <v>32</v>
      </c>
      <c r="B35" s="8"/>
      <c r="C35" s="8" t="s">
        <v>57</v>
      </c>
      <c r="D35" s="8" t="s">
        <v>15</v>
      </c>
      <c r="E35" s="8">
        <f t="shared" si="5"/>
        <v>3.17</v>
      </c>
      <c r="F35" s="8">
        <f t="shared" si="6"/>
        <v>3.2324999999999999</v>
      </c>
      <c r="G35" s="12">
        <f t="shared" si="7"/>
        <v>1.5499999999999998</v>
      </c>
      <c r="H35" s="12">
        <f t="shared" si="8"/>
        <v>1.6124999999999998</v>
      </c>
      <c r="I35" s="8">
        <f t="shared" si="9"/>
        <v>1.835</v>
      </c>
      <c r="J35" s="9"/>
      <c r="K35" s="9">
        <v>0.39</v>
      </c>
      <c r="L35" s="9">
        <v>1.1599999999999999</v>
      </c>
      <c r="M35" s="9">
        <v>1.4450000000000001</v>
      </c>
      <c r="N35" s="1"/>
      <c r="O35" s="1"/>
    </row>
    <row r="36" spans="1:15" x14ac:dyDescent="0.3">
      <c r="A36" s="12">
        <v>33</v>
      </c>
      <c r="B36" s="8"/>
      <c r="C36" s="8" t="s">
        <v>57</v>
      </c>
      <c r="D36" s="8" t="s">
        <v>16</v>
      </c>
      <c r="E36" s="8">
        <f t="shared" si="5"/>
        <v>4.82</v>
      </c>
      <c r="F36" s="8">
        <f t="shared" si="6"/>
        <v>4.8825000000000003</v>
      </c>
      <c r="G36" s="12">
        <f t="shared" si="7"/>
        <v>3.2</v>
      </c>
      <c r="H36" s="12">
        <f t="shared" si="8"/>
        <v>3.2625000000000002</v>
      </c>
      <c r="I36" s="8">
        <f t="shared" si="9"/>
        <v>1.835</v>
      </c>
      <c r="J36" s="9"/>
      <c r="K36" s="9">
        <v>0.39</v>
      </c>
      <c r="L36" s="9">
        <v>2.81</v>
      </c>
      <c r="M36" s="9">
        <v>1.4450000000000001</v>
      </c>
      <c r="N36" s="1"/>
      <c r="O36" s="1"/>
    </row>
    <row r="37" spans="1:15" x14ac:dyDescent="0.3">
      <c r="A37" s="12">
        <v>34</v>
      </c>
      <c r="B37" s="8" t="s">
        <v>7</v>
      </c>
      <c r="C37" s="8" t="s">
        <v>11</v>
      </c>
      <c r="D37" s="8" t="s">
        <v>25</v>
      </c>
      <c r="E37" s="8">
        <f t="shared" si="5"/>
        <v>2.085</v>
      </c>
      <c r="F37" s="8">
        <f t="shared" si="6"/>
        <v>2.1475</v>
      </c>
      <c r="G37" s="12">
        <f t="shared" si="7"/>
        <v>0.46500000000000002</v>
      </c>
      <c r="H37" s="12">
        <f t="shared" si="8"/>
        <v>0.52750000000000008</v>
      </c>
      <c r="I37" s="8">
        <f t="shared" si="9"/>
        <v>0.90500000000000003</v>
      </c>
      <c r="J37" s="9">
        <v>0</v>
      </c>
      <c r="K37" s="9">
        <v>0.14000000000000001</v>
      </c>
      <c r="L37" s="9">
        <v>0.32500000000000001</v>
      </c>
      <c r="M37" s="9">
        <v>0.76500000000000001</v>
      </c>
    </row>
    <row r="38" spans="1:15" x14ac:dyDescent="0.3">
      <c r="A38" s="12">
        <v>35</v>
      </c>
      <c r="B38" s="8" t="s">
        <v>7</v>
      </c>
      <c r="C38" s="8" t="s">
        <v>11</v>
      </c>
      <c r="D38" s="8" t="s">
        <v>14</v>
      </c>
      <c r="E38" s="8">
        <f t="shared" si="5"/>
        <v>2.532</v>
      </c>
      <c r="F38" s="8">
        <f t="shared" si="6"/>
        <v>2.5945</v>
      </c>
      <c r="G38" s="12">
        <f t="shared" si="7"/>
        <v>0.91200000000000003</v>
      </c>
      <c r="H38" s="12">
        <f t="shared" si="8"/>
        <v>0.97450000000000003</v>
      </c>
      <c r="I38" s="8">
        <f t="shared" si="9"/>
        <v>1.9165000000000001</v>
      </c>
      <c r="J38" s="9">
        <v>0</v>
      </c>
      <c r="K38" s="9">
        <v>0.14000000000000001</v>
      </c>
      <c r="L38" s="9">
        <v>0.77200000000000002</v>
      </c>
      <c r="M38" s="9">
        <v>1.7765</v>
      </c>
    </row>
    <row r="39" spans="1:15" x14ac:dyDescent="0.3">
      <c r="A39" s="12">
        <v>36</v>
      </c>
      <c r="B39" s="8" t="s">
        <v>7</v>
      </c>
      <c r="C39" s="8" t="s">
        <v>11</v>
      </c>
      <c r="D39" s="8" t="s">
        <v>15</v>
      </c>
      <c r="E39" s="8">
        <f t="shared" si="5"/>
        <v>2.92</v>
      </c>
      <c r="F39" s="8">
        <f t="shared" si="6"/>
        <v>2.9824999999999999</v>
      </c>
      <c r="G39" s="12">
        <f t="shared" si="7"/>
        <v>1.2999999999999998</v>
      </c>
      <c r="H39" s="12">
        <f t="shared" si="8"/>
        <v>1.3624999999999998</v>
      </c>
      <c r="I39" s="8">
        <f t="shared" si="9"/>
        <v>1.585</v>
      </c>
      <c r="J39" s="9">
        <v>0</v>
      </c>
      <c r="K39" s="9">
        <v>0.14000000000000001</v>
      </c>
      <c r="L39" s="9">
        <v>1.1599999999999999</v>
      </c>
      <c r="M39" s="9">
        <v>1.4450000000000001</v>
      </c>
    </row>
    <row r="40" spans="1:15" x14ac:dyDescent="0.3">
      <c r="A40" s="12">
        <v>37</v>
      </c>
      <c r="B40" s="8" t="s">
        <v>7</v>
      </c>
      <c r="C40" s="8" t="s">
        <v>11</v>
      </c>
      <c r="D40" s="8" t="s">
        <v>16</v>
      </c>
      <c r="E40" s="8">
        <f t="shared" si="5"/>
        <v>4.57</v>
      </c>
      <c r="F40" s="8">
        <f t="shared" si="6"/>
        <v>4.6325000000000003</v>
      </c>
      <c r="G40" s="12">
        <f t="shared" si="7"/>
        <v>2.95</v>
      </c>
      <c r="H40" s="12">
        <f t="shared" si="8"/>
        <v>3.0125000000000002</v>
      </c>
      <c r="I40" s="8">
        <f t="shared" si="9"/>
        <v>1.585</v>
      </c>
      <c r="J40" s="9">
        <v>0</v>
      </c>
      <c r="K40" s="9">
        <v>0.14000000000000001</v>
      </c>
      <c r="L40" s="9">
        <v>2.81</v>
      </c>
      <c r="M40" s="9">
        <v>1.4450000000000001</v>
      </c>
    </row>
    <row r="41" spans="1:15" x14ac:dyDescent="0.3">
      <c r="A41" s="12">
        <v>38</v>
      </c>
      <c r="B41" s="8" t="s">
        <v>7</v>
      </c>
      <c r="C41" s="8" t="s">
        <v>57</v>
      </c>
      <c r="D41" s="8" t="s">
        <v>25</v>
      </c>
      <c r="E41" s="8">
        <f t="shared" si="5"/>
        <v>2.335</v>
      </c>
      <c r="F41" s="8">
        <f t="shared" si="6"/>
        <v>2.3975</v>
      </c>
      <c r="G41" s="12">
        <f t="shared" si="7"/>
        <v>0.71500000000000008</v>
      </c>
      <c r="H41" s="12">
        <f t="shared" si="8"/>
        <v>0.77750000000000008</v>
      </c>
      <c r="I41" s="8">
        <f t="shared" si="9"/>
        <v>1.155</v>
      </c>
      <c r="J41" s="9">
        <v>0</v>
      </c>
      <c r="K41" s="9">
        <v>0.39</v>
      </c>
      <c r="L41" s="9">
        <v>0.32500000000000001</v>
      </c>
      <c r="M41" s="9">
        <v>0.76500000000000001</v>
      </c>
    </row>
    <row r="42" spans="1:15" x14ac:dyDescent="0.3">
      <c r="A42" s="12">
        <v>39</v>
      </c>
      <c r="B42" s="8" t="s">
        <v>7</v>
      </c>
      <c r="C42" s="8" t="s">
        <v>57</v>
      </c>
      <c r="D42" s="8" t="s">
        <v>14</v>
      </c>
      <c r="E42" s="8">
        <f t="shared" si="5"/>
        <v>2.782</v>
      </c>
      <c r="F42" s="8">
        <f t="shared" si="6"/>
        <v>2.8445</v>
      </c>
      <c r="G42" s="12">
        <f t="shared" si="7"/>
        <v>1.1619999999999999</v>
      </c>
      <c r="H42" s="12">
        <f t="shared" si="8"/>
        <v>1.2244999999999999</v>
      </c>
      <c r="I42" s="8">
        <f t="shared" si="9"/>
        <v>2.1665000000000001</v>
      </c>
      <c r="J42" s="9">
        <v>0</v>
      </c>
      <c r="K42" s="9">
        <v>0.39</v>
      </c>
      <c r="L42" s="9">
        <v>0.77200000000000002</v>
      </c>
      <c r="M42" s="9">
        <v>1.7765</v>
      </c>
    </row>
    <row r="43" spans="1:15" x14ac:dyDescent="0.3">
      <c r="A43" s="12">
        <v>40</v>
      </c>
      <c r="B43" s="8" t="s">
        <v>7</v>
      </c>
      <c r="C43" s="8" t="s">
        <v>57</v>
      </c>
      <c r="D43" s="8" t="s">
        <v>15</v>
      </c>
      <c r="E43" s="8">
        <f t="shared" si="5"/>
        <v>3.17</v>
      </c>
      <c r="F43" s="8">
        <f t="shared" si="6"/>
        <v>3.2324999999999999</v>
      </c>
      <c r="G43" s="12">
        <f t="shared" si="7"/>
        <v>1.5499999999999998</v>
      </c>
      <c r="H43" s="12">
        <f t="shared" si="8"/>
        <v>1.6124999999999998</v>
      </c>
      <c r="I43" s="8">
        <f t="shared" si="9"/>
        <v>1.835</v>
      </c>
      <c r="J43" s="9">
        <v>0</v>
      </c>
      <c r="K43" s="9">
        <v>0.39</v>
      </c>
      <c r="L43" s="9">
        <v>1.1599999999999999</v>
      </c>
      <c r="M43" s="9">
        <v>1.4450000000000001</v>
      </c>
    </row>
    <row r="44" spans="1:15" x14ac:dyDescent="0.3">
      <c r="A44" s="12">
        <v>41</v>
      </c>
      <c r="B44" s="8" t="s">
        <v>7</v>
      </c>
      <c r="C44" s="8" t="s">
        <v>57</v>
      </c>
      <c r="D44" s="8" t="s">
        <v>16</v>
      </c>
      <c r="E44" s="8">
        <f t="shared" si="5"/>
        <v>4.82</v>
      </c>
      <c r="F44" s="8">
        <f t="shared" si="6"/>
        <v>4.8825000000000003</v>
      </c>
      <c r="G44" s="12">
        <f t="shared" si="7"/>
        <v>3.2</v>
      </c>
      <c r="H44" s="12">
        <f t="shared" si="8"/>
        <v>3.2625000000000002</v>
      </c>
      <c r="I44" s="8">
        <f t="shared" si="9"/>
        <v>1.835</v>
      </c>
      <c r="J44" s="9">
        <v>0</v>
      </c>
      <c r="K44" s="9">
        <v>0.39</v>
      </c>
      <c r="L44" s="9">
        <v>2.81</v>
      </c>
      <c r="M44" s="9">
        <v>1.4450000000000001</v>
      </c>
    </row>
  </sheetData>
  <mergeCells count="3">
    <mergeCell ref="A1:D1"/>
    <mergeCell ref="E1:H1"/>
    <mergeCell ref="J1:M1"/>
  </mergeCells>
  <phoneticPr fontId="2" type="noConversion"/>
  <conditionalFormatting sqref="E3:I44">
    <cfRule type="expression" dxfId="2" priority="1" stopIfTrue="1">
      <formula>VALUE(E3) &lt; 2</formula>
    </cfRule>
    <cfRule type="expression" dxfId="1" priority="2" stopIfTrue="1">
      <formula>AND(VALUE(E3) &gt;= 2, VALUE(E3) &lt; 3)</formula>
    </cfRule>
    <cfRule type="expression" dxfId="0" priority="3" stopIfTrue="1">
      <formula>VALUE(E3) &gt; 3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4B830-7371-4AE1-9ABB-4F9074C93617}">
  <dimension ref="A1:D33"/>
  <sheetViews>
    <sheetView tabSelected="1" workbookViewId="0">
      <pane ySplit="1" topLeftCell="A2" activePane="bottomLeft" state="frozen"/>
      <selection pane="bottomLeft" activeCell="B30" sqref="B30"/>
    </sheetView>
  </sheetViews>
  <sheetFormatPr defaultColWidth="15.58203125" defaultRowHeight="14" x14ac:dyDescent="0.3"/>
  <cols>
    <col min="1" max="1" width="15.58203125" style="4"/>
    <col min="2" max="2" width="30.58203125" style="4" customWidth="1"/>
    <col min="3" max="16384" width="15.58203125" style="4"/>
  </cols>
  <sheetData>
    <row r="1" spans="1:4" customFormat="1" ht="28" x14ac:dyDescent="0.3">
      <c r="A1" s="10" t="s">
        <v>39</v>
      </c>
      <c r="B1" s="10" t="s">
        <v>44</v>
      </c>
      <c r="C1" s="21" t="s">
        <v>50</v>
      </c>
      <c r="D1" s="21" t="s">
        <v>51</v>
      </c>
    </row>
    <row r="2" spans="1:4" x14ac:dyDescent="0.3">
      <c r="A2" s="8" t="s">
        <v>40</v>
      </c>
      <c r="B2" s="8" t="s">
        <v>41</v>
      </c>
      <c r="C2" s="8">
        <v>1.62</v>
      </c>
      <c r="D2" s="8">
        <f t="shared" ref="D2:D3" si="0">C2*16</f>
        <v>25.92</v>
      </c>
    </row>
    <row r="3" spans="1:4" x14ac:dyDescent="0.3">
      <c r="A3" s="8" t="s">
        <v>45</v>
      </c>
      <c r="B3" s="8" t="s">
        <v>7</v>
      </c>
      <c r="C3" s="8">
        <v>6.25E-2</v>
      </c>
      <c r="D3" s="8">
        <f t="shared" si="0"/>
        <v>1</v>
      </c>
    </row>
    <row r="4" spans="1:4" x14ac:dyDescent="0.3">
      <c r="A4" s="8"/>
      <c r="B4" s="8"/>
      <c r="C4" s="8"/>
      <c r="D4" s="8"/>
    </row>
    <row r="5" spans="1:4" x14ac:dyDescent="0.3">
      <c r="A5" s="8" t="s">
        <v>7</v>
      </c>
      <c r="B5" s="8" t="s">
        <v>40</v>
      </c>
      <c r="C5" s="8">
        <v>-0.41249999999999998</v>
      </c>
      <c r="D5" s="8">
        <f t="shared" ref="D5:D20" si="1">C5*16</f>
        <v>-6.6</v>
      </c>
    </row>
    <row r="6" spans="1:4" x14ac:dyDescent="0.3">
      <c r="A6" s="8" t="s">
        <v>11</v>
      </c>
      <c r="B6" s="8" t="s">
        <v>40</v>
      </c>
      <c r="C6" s="8">
        <v>-0.41249999999999998</v>
      </c>
      <c r="D6" s="8">
        <f t="shared" si="1"/>
        <v>-6.6</v>
      </c>
    </row>
    <row r="7" spans="1:4" x14ac:dyDescent="0.3">
      <c r="A7" s="8" t="s">
        <v>57</v>
      </c>
      <c r="B7" s="8" t="s">
        <v>40</v>
      </c>
      <c r="C7" s="8">
        <v>-0.1</v>
      </c>
      <c r="D7" s="8">
        <f t="shared" si="1"/>
        <v>-1.6</v>
      </c>
    </row>
    <row r="8" spans="1:4" x14ac:dyDescent="0.3">
      <c r="A8" s="8" t="s">
        <v>49</v>
      </c>
      <c r="B8" s="8" t="s">
        <v>40</v>
      </c>
      <c r="C8" s="8">
        <v>0.26874999999999999</v>
      </c>
      <c r="D8" s="8">
        <f t="shared" si="1"/>
        <v>4.3</v>
      </c>
    </row>
    <row r="9" spans="1:4" x14ac:dyDescent="0.3">
      <c r="A9" s="8" t="s">
        <v>48</v>
      </c>
      <c r="B9" s="8" t="s">
        <v>40</v>
      </c>
      <c r="C9" s="8">
        <v>0.51249999999999996</v>
      </c>
      <c r="D9" s="8">
        <f t="shared" si="1"/>
        <v>8.1999999999999993</v>
      </c>
    </row>
    <row r="10" spans="1:4" x14ac:dyDescent="0.3">
      <c r="A10" s="8" t="s">
        <v>59</v>
      </c>
      <c r="B10" s="8" t="s">
        <v>40</v>
      </c>
      <c r="C10" s="4">
        <v>0.53749999999999998</v>
      </c>
      <c r="D10" s="4">
        <f>C10*16</f>
        <v>8.6</v>
      </c>
    </row>
    <row r="11" spans="1:4" x14ac:dyDescent="0.3">
      <c r="A11" s="8" t="s">
        <v>12</v>
      </c>
      <c r="B11" s="8" t="s">
        <v>40</v>
      </c>
      <c r="C11" s="8">
        <v>0.61250000000000004</v>
      </c>
      <c r="D11" s="8">
        <f t="shared" si="1"/>
        <v>9.8000000000000007</v>
      </c>
    </row>
    <row r="12" spans="1:4" x14ac:dyDescent="0.3">
      <c r="A12" s="8" t="s">
        <v>58</v>
      </c>
      <c r="B12" s="8" t="s">
        <v>40</v>
      </c>
      <c r="C12" s="8">
        <v>0.71875</v>
      </c>
      <c r="D12" s="8">
        <f t="shared" si="1"/>
        <v>11.5</v>
      </c>
    </row>
    <row r="13" spans="1:4" x14ac:dyDescent="0.3">
      <c r="A13" s="8" t="s">
        <v>14</v>
      </c>
      <c r="B13" s="8" t="s">
        <v>40</v>
      </c>
      <c r="C13" s="8">
        <v>0.77</v>
      </c>
      <c r="D13" s="8">
        <f t="shared" si="1"/>
        <v>12.32</v>
      </c>
    </row>
    <row r="14" spans="1:4" x14ac:dyDescent="0.3">
      <c r="A14" s="8" t="s">
        <v>47</v>
      </c>
      <c r="B14" s="8" t="s">
        <v>40</v>
      </c>
      <c r="C14" s="8">
        <v>0.84375</v>
      </c>
      <c r="D14" s="8">
        <f t="shared" si="1"/>
        <v>13.5</v>
      </c>
    </row>
    <row r="15" spans="1:4" x14ac:dyDescent="0.3">
      <c r="A15" s="8" t="s">
        <v>15</v>
      </c>
      <c r="B15" s="8" t="s">
        <v>40</v>
      </c>
      <c r="C15" s="8">
        <v>1.1000000000000001</v>
      </c>
      <c r="D15" s="8">
        <f t="shared" si="1"/>
        <v>17.600000000000001</v>
      </c>
    </row>
    <row r="16" spans="1:4" x14ac:dyDescent="0.3">
      <c r="A16" s="8" t="s">
        <v>16</v>
      </c>
      <c r="B16" s="8" t="s">
        <v>40</v>
      </c>
      <c r="C16" s="8">
        <v>2.8</v>
      </c>
      <c r="D16" s="8">
        <f t="shared" si="1"/>
        <v>44.8</v>
      </c>
    </row>
    <row r="17" spans="1:4" x14ac:dyDescent="0.3">
      <c r="A17" s="8" t="s">
        <v>61</v>
      </c>
      <c r="B17" s="8" t="s">
        <v>40</v>
      </c>
      <c r="C17" s="8">
        <v>0.17</v>
      </c>
      <c r="D17" s="8">
        <f t="shared" si="1"/>
        <v>2.72</v>
      </c>
    </row>
    <row r="18" spans="1:4" x14ac:dyDescent="0.3">
      <c r="A18" s="8" t="s">
        <v>62</v>
      </c>
      <c r="B18" s="8" t="s">
        <v>40</v>
      </c>
      <c r="C18" s="8">
        <v>1.4</v>
      </c>
      <c r="D18" s="8">
        <f t="shared" si="1"/>
        <v>22.4</v>
      </c>
    </row>
    <row r="19" spans="1:4" x14ac:dyDescent="0.3">
      <c r="A19" s="8" t="s">
        <v>56</v>
      </c>
      <c r="B19" s="8" t="s">
        <v>40</v>
      </c>
      <c r="C19" s="8">
        <v>1.4</v>
      </c>
      <c r="D19" s="8">
        <f t="shared" ref="D19" si="2">C19*16</f>
        <v>22.4</v>
      </c>
    </row>
    <row r="20" spans="1:4" x14ac:dyDescent="0.3">
      <c r="A20" s="8" t="s">
        <v>17</v>
      </c>
      <c r="B20" s="8" t="s">
        <v>40</v>
      </c>
      <c r="C20" s="8">
        <v>3.4</v>
      </c>
      <c r="D20" s="8">
        <f t="shared" si="1"/>
        <v>54.4</v>
      </c>
    </row>
    <row r="21" spans="1:4" x14ac:dyDescent="0.3">
      <c r="A21" s="8"/>
      <c r="B21" s="8"/>
      <c r="C21" s="8"/>
      <c r="D21" s="8"/>
    </row>
    <row r="22" spans="1:4" x14ac:dyDescent="0.3">
      <c r="A22" s="8" t="s">
        <v>11</v>
      </c>
      <c r="B22" s="8" t="s">
        <v>56</v>
      </c>
      <c r="C22" s="8">
        <v>-0.51249999999999996</v>
      </c>
      <c r="D22" s="8">
        <f>C22*16</f>
        <v>-8.1999999999999993</v>
      </c>
    </row>
    <row r="23" spans="1:4" x14ac:dyDescent="0.3">
      <c r="A23" s="8" t="s">
        <v>11</v>
      </c>
      <c r="B23" s="8" t="s">
        <v>42</v>
      </c>
      <c r="C23" s="8">
        <f>0.25-1/16</f>
        <v>0.1875</v>
      </c>
      <c r="D23" s="8">
        <f>C23*16</f>
        <v>3</v>
      </c>
    </row>
    <row r="24" spans="1:4" x14ac:dyDescent="0.3">
      <c r="A24" s="8"/>
      <c r="B24" s="8"/>
      <c r="C24" s="8"/>
      <c r="D24" s="8"/>
    </row>
    <row r="25" spans="1:4" x14ac:dyDescent="0.3">
      <c r="A25" s="8" t="s">
        <v>57</v>
      </c>
      <c r="B25" s="8" t="s">
        <v>56</v>
      </c>
      <c r="C25" s="8">
        <v>-0.2</v>
      </c>
      <c r="D25" s="8">
        <f>C25*16</f>
        <v>-3.2</v>
      </c>
    </row>
    <row r="26" spans="1:4" x14ac:dyDescent="0.3">
      <c r="A26" s="8" t="s">
        <v>57</v>
      </c>
      <c r="B26" s="8" t="s">
        <v>42</v>
      </c>
      <c r="C26" s="8">
        <v>0.5</v>
      </c>
      <c r="D26" s="8">
        <f>C26*16</f>
        <v>8</v>
      </c>
    </row>
    <row r="27" spans="1:4" x14ac:dyDescent="0.3">
      <c r="A27" s="8"/>
      <c r="B27" s="8"/>
      <c r="C27" s="8"/>
      <c r="D27" s="8"/>
    </row>
    <row r="28" spans="1:4" x14ac:dyDescent="0.3">
      <c r="A28" s="8" t="s">
        <v>7</v>
      </c>
      <c r="B28" s="8" t="s">
        <v>56</v>
      </c>
      <c r="C28" s="8">
        <v>-0.45</v>
      </c>
      <c r="D28" s="8">
        <f t="shared" ref="D28:D30" si="3">C28*16</f>
        <v>-7.2</v>
      </c>
    </row>
    <row r="29" spans="1:4" x14ac:dyDescent="0.3">
      <c r="A29" s="8" t="s">
        <v>7</v>
      </c>
      <c r="B29" s="8" t="s">
        <v>42</v>
      </c>
      <c r="C29" s="8">
        <f t="shared" ref="C29:C30" si="4">0.25-1/16</f>
        <v>0.1875</v>
      </c>
      <c r="D29" s="8">
        <f t="shared" si="3"/>
        <v>3</v>
      </c>
    </row>
    <row r="30" spans="1:4" ht="42" x14ac:dyDescent="0.3">
      <c r="A30" s="8" t="s">
        <v>7</v>
      </c>
      <c r="B30" s="19" t="s">
        <v>65</v>
      </c>
      <c r="C30" s="8">
        <f t="shared" si="4"/>
        <v>0.1875</v>
      </c>
      <c r="D30" s="8">
        <f t="shared" si="3"/>
        <v>3</v>
      </c>
    </row>
    <row r="31" spans="1:4" x14ac:dyDescent="0.3">
      <c r="A31" s="8" t="s">
        <v>7</v>
      </c>
      <c r="B31" s="8" t="s">
        <v>17</v>
      </c>
      <c r="C31" s="8">
        <v>0.6875</v>
      </c>
      <c r="D31" s="8">
        <v>11</v>
      </c>
    </row>
    <row r="32" spans="1:4" x14ac:dyDescent="0.3">
      <c r="A32" s="8"/>
      <c r="B32" s="8"/>
      <c r="C32" s="8"/>
      <c r="D32" s="8"/>
    </row>
    <row r="33" spans="1:4" x14ac:dyDescent="0.3">
      <c r="A33" s="8" t="s">
        <v>7</v>
      </c>
      <c r="B33" s="8" t="s">
        <v>43</v>
      </c>
      <c r="C33" s="8">
        <f>0.25-1/16</f>
        <v>0.1875</v>
      </c>
      <c r="D33" s="8">
        <f>C33*16</f>
        <v>3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9FCC8-56A1-4CCA-9C20-925A343FC358}">
  <dimension ref="A1:D26"/>
  <sheetViews>
    <sheetView workbookViewId="0">
      <pane ySplit="1" topLeftCell="A2" activePane="bottomLeft" state="frozen"/>
      <selection pane="bottomLeft"/>
    </sheetView>
  </sheetViews>
  <sheetFormatPr defaultColWidth="15.58203125" defaultRowHeight="14" x14ac:dyDescent="0.3"/>
  <cols>
    <col min="2" max="2" width="30.58203125" customWidth="1"/>
  </cols>
  <sheetData>
    <row r="1" spans="1:4" ht="28" x14ac:dyDescent="0.3">
      <c r="A1" s="6" t="s">
        <v>39</v>
      </c>
      <c r="B1" s="6" t="s">
        <v>44</v>
      </c>
      <c r="C1" s="21" t="s">
        <v>50</v>
      </c>
      <c r="D1" s="21" t="s">
        <v>51</v>
      </c>
    </row>
    <row r="2" spans="1:4" x14ac:dyDescent="0.3">
      <c r="A2" s="8" t="s">
        <v>40</v>
      </c>
      <c r="B2" s="8" t="s">
        <v>41</v>
      </c>
      <c r="C2" s="8">
        <v>1.62</v>
      </c>
      <c r="D2" s="8">
        <f t="shared" ref="D2:D3" si="0">C2*16</f>
        <v>25.92</v>
      </c>
    </row>
    <row r="3" spans="1:4" x14ac:dyDescent="0.3">
      <c r="A3" s="8" t="s">
        <v>45</v>
      </c>
      <c r="B3" s="8" t="s">
        <v>7</v>
      </c>
      <c r="C3" s="8">
        <v>6.25E-2</v>
      </c>
      <c r="D3" s="8">
        <f t="shared" si="0"/>
        <v>1</v>
      </c>
    </row>
    <row r="4" spans="1:4" x14ac:dyDescent="0.3">
      <c r="A4" s="8"/>
      <c r="B4" s="8"/>
      <c r="C4" s="8"/>
      <c r="D4" s="8"/>
    </row>
    <row r="5" spans="1:4" x14ac:dyDescent="0.3">
      <c r="A5" s="8" t="s">
        <v>7</v>
      </c>
      <c r="B5" s="8" t="s">
        <v>40</v>
      </c>
      <c r="C5" s="8">
        <v>-0.35</v>
      </c>
      <c r="D5" s="8">
        <f t="shared" ref="D5:D17" si="1">C5*16</f>
        <v>-5.6</v>
      </c>
    </row>
    <row r="6" spans="1:4" x14ac:dyDescent="0.3">
      <c r="A6" s="8" t="s">
        <v>11</v>
      </c>
      <c r="B6" s="8" t="s">
        <v>40</v>
      </c>
      <c r="C6" s="8">
        <v>-0.35</v>
      </c>
      <c r="D6" s="8">
        <f t="shared" si="1"/>
        <v>-5.6</v>
      </c>
    </row>
    <row r="7" spans="1:4" x14ac:dyDescent="0.3">
      <c r="A7" s="8" t="s">
        <v>57</v>
      </c>
      <c r="B7" s="8" t="s">
        <v>40</v>
      </c>
      <c r="C7" s="8">
        <v>-0.1</v>
      </c>
      <c r="D7" s="8">
        <f t="shared" si="1"/>
        <v>-1.6</v>
      </c>
    </row>
    <row r="8" spans="1:4" x14ac:dyDescent="0.3">
      <c r="A8" s="8" t="s">
        <v>49</v>
      </c>
      <c r="B8" s="8" t="s">
        <v>40</v>
      </c>
      <c r="C8" s="8">
        <v>0.32500000000000001</v>
      </c>
      <c r="D8" s="8">
        <f t="shared" si="1"/>
        <v>5.2</v>
      </c>
    </row>
    <row r="9" spans="1:4" x14ac:dyDescent="0.3">
      <c r="A9" s="8" t="s">
        <v>48</v>
      </c>
      <c r="B9" s="8" t="s">
        <v>40</v>
      </c>
      <c r="C9" s="8">
        <v>0.52500000000000002</v>
      </c>
      <c r="D9" s="8">
        <f t="shared" si="1"/>
        <v>8.4</v>
      </c>
    </row>
    <row r="10" spans="1:4" x14ac:dyDescent="0.3">
      <c r="A10" s="8" t="s">
        <v>12</v>
      </c>
      <c r="B10" s="8" t="s">
        <v>40</v>
      </c>
      <c r="C10" s="8">
        <v>0.6</v>
      </c>
      <c r="D10" s="8">
        <f t="shared" si="1"/>
        <v>9.6</v>
      </c>
    </row>
    <row r="11" spans="1:4" x14ac:dyDescent="0.3">
      <c r="A11" s="8" t="s">
        <v>13</v>
      </c>
      <c r="B11" s="8" t="s">
        <v>40</v>
      </c>
      <c r="C11" s="8">
        <v>0.66249999999999998</v>
      </c>
      <c r="D11" s="8">
        <f t="shared" si="1"/>
        <v>10.6</v>
      </c>
    </row>
    <row r="12" spans="1:4" x14ac:dyDescent="0.3">
      <c r="A12" s="8" t="s">
        <v>14</v>
      </c>
      <c r="B12" s="8" t="s">
        <v>40</v>
      </c>
      <c r="C12" s="8">
        <v>0.77200000000000002</v>
      </c>
      <c r="D12" s="8">
        <f t="shared" si="1"/>
        <v>12.352</v>
      </c>
    </row>
    <row r="13" spans="1:4" x14ac:dyDescent="0.3">
      <c r="A13" s="8" t="s">
        <v>47</v>
      </c>
      <c r="B13" s="8" t="s">
        <v>40</v>
      </c>
      <c r="C13" s="8">
        <v>0.85</v>
      </c>
      <c r="D13" s="8">
        <f t="shared" si="1"/>
        <v>13.6</v>
      </c>
    </row>
    <row r="14" spans="1:4" x14ac:dyDescent="0.3">
      <c r="A14" s="8" t="s">
        <v>15</v>
      </c>
      <c r="B14" s="8" t="s">
        <v>40</v>
      </c>
      <c r="C14" s="8">
        <v>1.1599999999999999</v>
      </c>
      <c r="D14" s="8">
        <f t="shared" si="1"/>
        <v>18.559999999999999</v>
      </c>
    </row>
    <row r="15" spans="1:4" x14ac:dyDescent="0.3">
      <c r="A15" s="8" t="s">
        <v>16</v>
      </c>
      <c r="B15" s="8" t="s">
        <v>40</v>
      </c>
      <c r="C15" s="8">
        <v>2.81</v>
      </c>
      <c r="D15" s="8">
        <f t="shared" si="1"/>
        <v>44.96</v>
      </c>
    </row>
    <row r="16" spans="1:4" x14ac:dyDescent="0.3">
      <c r="A16" s="8" t="s">
        <v>63</v>
      </c>
      <c r="B16" s="8" t="s">
        <v>40</v>
      </c>
      <c r="C16" s="8">
        <v>0.19500000000000001</v>
      </c>
      <c r="D16" s="8">
        <f t="shared" si="1"/>
        <v>3.12</v>
      </c>
    </row>
    <row r="17" spans="1:4" x14ac:dyDescent="0.3">
      <c r="A17" s="8" t="s">
        <v>64</v>
      </c>
      <c r="B17" s="8" t="s">
        <v>40</v>
      </c>
      <c r="C17" s="8">
        <v>1.425</v>
      </c>
      <c r="D17" s="8">
        <f t="shared" si="1"/>
        <v>22.8</v>
      </c>
    </row>
    <row r="18" spans="1:4" x14ac:dyDescent="0.3">
      <c r="A18" s="8"/>
      <c r="B18" s="8"/>
      <c r="C18" s="8"/>
      <c r="D18" s="8"/>
    </row>
    <row r="19" spans="1:4" x14ac:dyDescent="0.3">
      <c r="A19" s="8" t="s">
        <v>11</v>
      </c>
      <c r="B19" s="8" t="s">
        <v>42</v>
      </c>
      <c r="C19" s="8">
        <v>0.04</v>
      </c>
      <c r="D19" s="8">
        <f>C19*16</f>
        <v>0.64</v>
      </c>
    </row>
    <row r="20" spans="1:4" x14ac:dyDescent="0.3">
      <c r="A20" s="8"/>
      <c r="B20" s="8"/>
      <c r="C20" s="8"/>
      <c r="D20" s="8"/>
    </row>
    <row r="21" spans="1:4" x14ac:dyDescent="0.3">
      <c r="A21" s="8" t="s">
        <v>57</v>
      </c>
      <c r="B21" s="8" t="s">
        <v>42</v>
      </c>
      <c r="C21" s="8">
        <v>0.39</v>
      </c>
      <c r="D21" s="8">
        <f>C21*16</f>
        <v>6.24</v>
      </c>
    </row>
    <row r="22" spans="1:4" x14ac:dyDescent="0.3">
      <c r="A22" s="20"/>
      <c r="B22" s="20"/>
    </row>
    <row r="23" spans="1:4" x14ac:dyDescent="0.3">
      <c r="A23" s="8" t="s">
        <v>7</v>
      </c>
      <c r="B23" s="8" t="s">
        <v>42</v>
      </c>
      <c r="C23" s="8">
        <v>0.14000000000000001</v>
      </c>
      <c r="D23" s="8">
        <f t="shared" ref="D23:D24" si="2">C23*16</f>
        <v>2.2400000000000002</v>
      </c>
    </row>
    <row r="24" spans="1:4" ht="28" x14ac:dyDescent="0.3">
      <c r="A24" s="8" t="s">
        <v>7</v>
      </c>
      <c r="B24" s="19" t="s">
        <v>46</v>
      </c>
      <c r="C24" s="8">
        <v>0.14000000000000001</v>
      </c>
      <c r="D24" s="8">
        <f t="shared" si="2"/>
        <v>2.2400000000000002</v>
      </c>
    </row>
    <row r="25" spans="1:4" x14ac:dyDescent="0.3">
      <c r="A25" s="20"/>
      <c r="B25" s="20"/>
    </row>
    <row r="26" spans="1:4" x14ac:dyDescent="0.3">
      <c r="A26" s="8" t="s">
        <v>7</v>
      </c>
      <c r="B26" s="8" t="s">
        <v>43</v>
      </c>
      <c r="C26" s="8">
        <v>0.14000000000000001</v>
      </c>
      <c r="D26" s="8">
        <f>C26*16</f>
        <v>2.2400000000000002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Information Guide</vt:lpstr>
      <vt:lpstr>1.20.4+ (Pixels)</vt:lpstr>
      <vt:lpstr>1.20.4+ (Blocks)</vt:lpstr>
      <vt:lpstr>1.20.1- (Pixels)</vt:lpstr>
      <vt:lpstr>1.20.1- (Blocks)</vt:lpstr>
      <vt:lpstr>1.20.4+ Original Data</vt:lpstr>
      <vt:lpstr>1.20.1- Original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acacia</dc:creator>
  <cp:lastModifiedBy>acacia acacia</cp:lastModifiedBy>
  <dcterms:created xsi:type="dcterms:W3CDTF">2015-06-05T18:19:34Z</dcterms:created>
  <dcterms:modified xsi:type="dcterms:W3CDTF">2025-11-13T09:08:31Z</dcterms:modified>
</cp:coreProperties>
</file>