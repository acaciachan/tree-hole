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5F54E03-D7E1-4E0A-856F-1ACD96022A0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1.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  <c r="C14" i="1"/>
  <c r="C13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<sst xmlns="http://schemas.openxmlformats.org/spreadsheetml/2006/main" count="9" uniqueCount="9">
  <si>
    <t>时间</t>
    <phoneticPr fontId="1" type="noConversion"/>
  </si>
  <si>
    <t>y = -0.0198x2 + 1.2283x - 0.7948</t>
    <phoneticPr fontId="1" type="noConversion"/>
  </si>
  <si>
    <t>速度(m/s)</t>
    <phoneticPr fontId="1" type="noConversion"/>
  </si>
  <si>
    <t>Motion(m/gt)</t>
    <phoneticPr fontId="1" type="noConversion"/>
  </si>
  <si>
    <t>实际位移</t>
    <phoneticPr fontId="1" type="noConversion"/>
  </si>
  <si>
    <t>计划刻阶段放出矿车，实体阶段开始加速</t>
    <phoneticPr fontId="1" type="noConversion"/>
  </si>
  <si>
    <t>水平加速</t>
    <phoneticPr fontId="1" type="noConversion"/>
  </si>
  <si>
    <t>达到实际终端速度(动力铁轨)</t>
    <phoneticPr fontId="1" type="noConversion"/>
  </si>
  <si>
    <t>拟合多项式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</si>
</sst>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0" borderId="0" xfId="0" applyNumberFormat="1" applyFont="1"/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3.8" x14ac:dyDescent="0.25"/>
  <cols>
    <col min="1" max="1" width="9.5546875" style="1" bestFit="1" customWidth="1"/>
    <col min="2" max="2" width="12.77734375" style="1" customWidth="1"/>
    <col min="3" max="3" width="10.5546875" style="1" bestFit="1" customWidth="1"/>
    <col min="4" max="4" width="11.33203125" style="1" customWidth="1"/>
    <col min="5" max="5" width="9.5546875" style="1" bestFit="1" customWidth="1"/>
    <col min="6" max="6" width="40.21875" style="1" bestFit="1" customWidth="1"/>
    <col min="7" max="10" width="8.88671875" style="1"/>
    <col min="11" max="11" width="8.88671875" style="1" customWidth="1"/>
    <col min="12" max="16384" width="8.88671875" style="1"/>
  </cols>
  <sheetData>
    <row r="1" spans="1:6" x14ac:dyDescent="0.25">
      <c r="A1" s="1" t="s">
        <v>6</v>
      </c>
      <c r="D1" s="1" t="s">
        <v>1</v>
      </c>
    </row>
    <row r="2" spans="1:6" x14ac:dyDescent="0.25">
      <c r="A2" s="1" t="s">
        <v>0</v>
      </c>
      <c r="B2" s="1" t="s">
        <v>3</v>
      </c>
      <c r="C2" s="1" t="s">
        <v>2</v>
      </c>
      <c r="D2" s="1" t="s">
        <v>8</v>
      </c>
      <c r="E2" s="1" t="s">
        <v>4</v>
      </c>
    </row>
    <row r="3" spans="1:6" x14ac:dyDescent="0.25">
      <c r="A3" s="1">
        <v>0</v>
      </c>
      <c r="B3" s="1">
        <v>0.02</v>
      </c>
      <c r="C3" s="1">
        <f>B3*20</f>
        <v>0.4</v>
      </c>
      <c r="D3" s="1">
        <f>-0.0198*(A3+1)^2+1.2283*(A3+1)-0.7948</f>
        <v>0.41369999999999996</v>
      </c>
      <c r="E3" s="1">
        <v>0</v>
      </c>
      <c r="F3" s="1" t="s">
        <v>5</v>
      </c>
    </row>
    <row r="4" spans="1:6" x14ac:dyDescent="0.25">
      <c r="A4" s="1">
        <v>1</v>
      </c>
      <c r="B4" s="1">
        <v>7.9199999999999895E-2</v>
      </c>
      <c r="C4" s="1">
        <f t="shared" ref="C4:C14" si="0">B4*20</f>
        <v>1.5839999999999979</v>
      </c>
      <c r="D4" s="1">
        <f t="shared" ref="D4:D14" si="1">-0.0198*(A4+1)^2+1.2283*(A4+1)-0.7948</f>
        <v>1.5825999999999998</v>
      </c>
      <c r="E4" s="1">
        <v>0.02</v>
      </c>
    </row>
    <row r="5" spans="1:6" x14ac:dyDescent="0.25">
      <c r="A5" s="1">
        <v>2</v>
      </c>
      <c r="B5" s="1">
        <v>0.13603199999999999</v>
      </c>
      <c r="C5" s="1">
        <f t="shared" si="0"/>
        <v>2.7206399999999995</v>
      </c>
      <c r="D5" s="1">
        <f t="shared" si="1"/>
        <v>2.7119</v>
      </c>
      <c r="E5" s="1">
        <v>9.9199999999999997E-2</v>
      </c>
    </row>
    <row r="6" spans="1:6" x14ac:dyDescent="0.25">
      <c r="A6" s="1">
        <v>3</v>
      </c>
      <c r="B6" s="1">
        <v>0.19059071999999999</v>
      </c>
      <c r="C6" s="1">
        <f t="shared" si="0"/>
        <v>3.8118143999999998</v>
      </c>
      <c r="D6" s="1">
        <f t="shared" si="1"/>
        <v>3.8016000000000001</v>
      </c>
      <c r="E6" s="1">
        <v>0.235231999999999</v>
      </c>
    </row>
    <row r="7" spans="1:6" x14ac:dyDescent="0.25">
      <c r="A7" s="1">
        <v>4</v>
      </c>
      <c r="B7" s="1">
        <v>0.24296709119999901</v>
      </c>
      <c r="C7" s="1">
        <f t="shared" si="0"/>
        <v>4.8593418239999799</v>
      </c>
      <c r="D7" s="1">
        <f t="shared" si="1"/>
        <v>4.8516999999999992</v>
      </c>
      <c r="E7" s="1">
        <v>0.42582271999999899</v>
      </c>
    </row>
    <row r="8" spans="1:6" x14ac:dyDescent="0.25">
      <c r="A8" s="1">
        <v>5</v>
      </c>
      <c r="B8" s="1">
        <v>0.29324840755199999</v>
      </c>
      <c r="C8" s="1">
        <f t="shared" si="0"/>
        <v>5.8649681510399994</v>
      </c>
      <c r="D8" s="1">
        <f t="shared" si="1"/>
        <v>5.8621999999999996</v>
      </c>
      <c r="E8" s="1">
        <v>0.66878981120000003</v>
      </c>
    </row>
    <row r="9" spans="1:6" x14ac:dyDescent="0.25">
      <c r="A9" s="1">
        <v>6</v>
      </c>
      <c r="B9" s="1">
        <v>0.34151847124991902</v>
      </c>
      <c r="C9" s="1">
        <f t="shared" si="0"/>
        <v>6.8303694249983806</v>
      </c>
      <c r="D9" s="1">
        <f t="shared" si="1"/>
        <v>6.8330999999999982</v>
      </c>
      <c r="E9" s="1">
        <v>0.96203821875199902</v>
      </c>
    </row>
    <row r="10" spans="1:6" x14ac:dyDescent="0.25">
      <c r="A10" s="1">
        <v>7</v>
      </c>
      <c r="B10" s="1">
        <v>0.38785773239992299</v>
      </c>
      <c r="C10" s="1">
        <f t="shared" si="0"/>
        <v>7.7571546479984601</v>
      </c>
      <c r="D10" s="1">
        <f t="shared" si="1"/>
        <v>7.7643999999999984</v>
      </c>
      <c r="E10" s="1">
        <v>1.30355669000191</v>
      </c>
    </row>
    <row r="11" spans="1:6" x14ac:dyDescent="0.25">
      <c r="A11" s="2">
        <v>8</v>
      </c>
      <c r="B11" s="2">
        <v>0.43234342310392598</v>
      </c>
      <c r="C11" s="3">
        <f t="shared" si="0"/>
        <v>8.646868462078519</v>
      </c>
      <c r="D11" s="2">
        <f t="shared" si="1"/>
        <v>8.6561000000000003</v>
      </c>
      <c r="E11" s="2">
        <v>1.6914144224018399</v>
      </c>
      <c r="F11" s="1" t="s">
        <v>7</v>
      </c>
    </row>
    <row r="12" spans="1:6" x14ac:dyDescent="0.25">
      <c r="A12" s="1">
        <v>9</v>
      </c>
      <c r="B12" s="1">
        <v>0.475049686179769</v>
      </c>
      <c r="C12" s="1">
        <f t="shared" si="0"/>
        <v>9.5009937235953803</v>
      </c>
      <c r="D12" s="1">
        <f t="shared" si="1"/>
        <v>9.5081999999999987</v>
      </c>
      <c r="E12" s="1">
        <v>2.0914144224018401</v>
      </c>
    </row>
    <row r="13" spans="1:6" x14ac:dyDescent="0.25">
      <c r="A13" s="1">
        <v>10</v>
      </c>
      <c r="B13" s="1">
        <v>0.51604769873257805</v>
      </c>
      <c r="C13" s="1">
        <f t="shared" si="0"/>
        <v>10.320953974651561</v>
      </c>
      <c r="D13" s="1">
        <f t="shared" si="1"/>
        <v>10.320699999999997</v>
      </c>
      <c r="E13" s="1">
        <v>2.49141442240184</v>
      </c>
    </row>
    <row r="14" spans="1:6" x14ac:dyDescent="0.25">
      <c r="A14" s="1">
        <v>11</v>
      </c>
      <c r="B14" s="1">
        <v>0.55540579078327501</v>
      </c>
      <c r="C14" s="1">
        <f t="shared" si="0"/>
        <v>11.108115815665499</v>
      </c>
      <c r="D14" s="1">
        <f t="shared" si="1"/>
        <v>11.093599999999999</v>
      </c>
      <c r="E14" s="1">
        <v>2.8914144224018399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2022-12-04T12:41:47Z</dcterms:modified>
</cp:coreProperties>
</file>