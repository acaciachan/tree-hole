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Desktop\"/>
    </mc:Choice>
  </mc:AlternateContent>
  <xr:revisionPtr revIDLastSave="0" documentId="13_ncr:1_{FFBC92C3-C97A-41D4-9BAE-35DE60A1A39B}" xr6:coauthVersionLast="47" xr6:coauthVersionMax="47" xr10:uidLastSave="{00000000-0000-0000-0000-000000000000}"/>
  <bookViews>
    <workbookView xWindow="4830" yWindow="2540" windowWidth="19200" windowHeight="1005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F3" i="1"/>
  <c r="F4" i="1"/>
  <c r="F5" i="1"/>
  <c r="H5" i="1" s="1"/>
  <c r="F6" i="1"/>
  <c r="F7" i="1"/>
  <c r="F8" i="1"/>
  <c r="G8" i="1" s="1"/>
  <c r="F9" i="1"/>
  <c r="G9" i="1" s="1"/>
  <c r="F10" i="1"/>
  <c r="G10" i="1" s="1"/>
  <c r="F11" i="1"/>
  <c r="G11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G17" i="1" s="1"/>
  <c r="F18" i="1"/>
  <c r="G18" i="1" s="1"/>
  <c r="F19" i="1"/>
  <c r="G19" i="1" s="1"/>
  <c r="F2" i="1"/>
  <c r="H3" i="1"/>
  <c r="H4" i="1"/>
  <c r="H6" i="1"/>
  <c r="H7" i="1"/>
  <c r="G3" i="1"/>
  <c r="G4" i="1"/>
  <c r="G5" i="1"/>
  <c r="G6" i="1"/>
  <c r="G7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" i="1"/>
  <c r="G2" i="1" s="1"/>
  <c r="H18" i="1" l="1"/>
  <c r="G15" i="1"/>
  <c r="G14" i="1"/>
  <c r="G13" i="1"/>
  <c r="G12" i="1"/>
  <c r="H9" i="1"/>
  <c r="H19" i="1"/>
  <c r="H17" i="1"/>
  <c r="G16" i="1"/>
  <c r="H8" i="1"/>
  <c r="H11" i="1"/>
  <c r="H10" i="1"/>
  <c r="H2" i="1"/>
</calcChain>
</file>

<file path=xl/sharedStrings.xml><?xml version="1.0" encoding="utf-8"?>
<sst xmlns="http://schemas.openxmlformats.org/spreadsheetml/2006/main" count="26" uniqueCount="26">
  <si>
    <t>物品</t>
    <phoneticPr fontId="2" type="noConversion"/>
  </si>
  <si>
    <t>数量期望</t>
    <phoneticPr fontId="2" type="noConversion"/>
  </si>
  <si>
    <t>概率</t>
    <phoneticPr fontId="2" type="noConversion"/>
  </si>
  <si>
    <t>附魔书</t>
    <phoneticPr fontId="2" type="noConversion"/>
  </si>
  <si>
    <t>铁靴子</t>
    <phoneticPr fontId="2" type="noConversion"/>
  </si>
  <si>
    <t>喷溅抗火药水</t>
    <phoneticPr fontId="2" type="noConversion"/>
  </si>
  <si>
    <t>抗火药水</t>
    <phoneticPr fontId="2" type="noConversion"/>
  </si>
  <si>
    <t>水瓶</t>
    <phoneticPr fontId="2" type="noConversion"/>
  </si>
  <si>
    <t>铁粒</t>
    <phoneticPr fontId="2" type="noConversion"/>
  </si>
  <si>
    <t>末影珍珠</t>
    <phoneticPr fontId="2" type="noConversion"/>
  </si>
  <si>
    <t>线</t>
    <phoneticPr fontId="2" type="noConversion"/>
  </si>
  <si>
    <t>下界石英</t>
    <phoneticPr fontId="2" type="noConversion"/>
  </si>
  <si>
    <t>黑曜石</t>
    <phoneticPr fontId="2" type="noConversion"/>
  </si>
  <si>
    <t>哭泣的黑曜石</t>
    <phoneticPr fontId="2" type="noConversion"/>
  </si>
  <si>
    <t>火焰弹</t>
    <phoneticPr fontId="2" type="noConversion"/>
  </si>
  <si>
    <t>皮革</t>
    <phoneticPr fontId="2" type="noConversion"/>
  </si>
  <si>
    <t>灵魂沙</t>
    <phoneticPr fontId="2" type="noConversion"/>
  </si>
  <si>
    <t>下界砖</t>
    <phoneticPr fontId="2" type="noConversion"/>
  </si>
  <si>
    <t>光灵箭</t>
    <phoneticPr fontId="2" type="noConversion"/>
  </si>
  <si>
    <t>砂砾</t>
    <phoneticPr fontId="2" type="noConversion"/>
  </si>
  <si>
    <t>黑石</t>
    <phoneticPr fontId="2" type="noConversion"/>
  </si>
  <si>
    <t>数量(Max)</t>
    <phoneticPr fontId="2" type="noConversion"/>
  </si>
  <si>
    <t>数量(Min)</t>
    <phoneticPr fontId="2" type="noConversion"/>
  </si>
  <si>
    <t>权重</t>
    <phoneticPr fontId="2" type="noConversion"/>
  </si>
  <si>
    <t>每个物品平均
需要金锭数量</t>
    <phoneticPr fontId="2" type="noConversion"/>
  </si>
  <si>
    <t>每个金锭获得
物品平均数量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</si>
</sst>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0.0000"/>
    <numFmt numFmtId="183" formatCode="0.000%"/>
  </numFmts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vertical="center"/>
    </xf>
    <xf numFmtId="183" fontId="0" fillId="0" borderId="0" xfId="1" applyNumberFormat="1" applyFont="1" applyAlignment="1">
      <alignment vertical="center"/>
    </xf>
    <xf numFmtId="178" fontId="0" fillId="0" borderId="0" xfId="0" applyNumberForma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/>
  </sheetViews>
  <sheetFormatPr defaultRowHeight="14" x14ac:dyDescent="0.3"/>
  <cols>
    <col min="1" max="1" width="14.75" style="1" customWidth="1"/>
    <col min="2" max="2" width="8.9140625" style="1" customWidth="1"/>
    <col min="3" max="3" width="9.9140625" style="1" customWidth="1"/>
    <col min="4" max="4" width="8.08203125" style="1" customWidth="1"/>
    <col min="5" max="5" width="4.75" style="1" customWidth="1"/>
    <col min="6" max="6" width="7.1640625" style="1" customWidth="1"/>
    <col min="7" max="7" width="12.33203125" style="1" customWidth="1"/>
    <col min="8" max="8" width="12.08203125" style="1" customWidth="1"/>
    <col min="9" max="16384" width="8.6640625" style="1"/>
  </cols>
  <sheetData>
    <row r="1" spans="1:8" s="4" customFormat="1" ht="28" x14ac:dyDescent="0.3">
      <c r="A1" s="4" t="s">
        <v>0</v>
      </c>
      <c r="B1" s="4" t="s">
        <v>22</v>
      </c>
      <c r="C1" s="4" t="s">
        <v>21</v>
      </c>
      <c r="D1" s="4" t="s">
        <v>1</v>
      </c>
      <c r="E1" s="4" t="s">
        <v>23</v>
      </c>
      <c r="F1" s="4" t="s">
        <v>2</v>
      </c>
      <c r="G1" s="5" t="s">
        <v>24</v>
      </c>
      <c r="H1" s="5" t="s">
        <v>25</v>
      </c>
    </row>
    <row r="2" spans="1:8" x14ac:dyDescent="0.3">
      <c r="A2" s="1" t="s">
        <v>3</v>
      </c>
      <c r="B2" s="1">
        <v>1</v>
      </c>
      <c r="C2" s="1">
        <v>1</v>
      </c>
      <c r="D2" s="1">
        <f>(B2+C2)/2</f>
        <v>1</v>
      </c>
      <c r="E2" s="1">
        <v>5</v>
      </c>
      <c r="F2" s="2">
        <f>E2/SUM(E$2:E$19)</f>
        <v>1.0893246187363835E-2</v>
      </c>
      <c r="G2" s="3">
        <f>1/(D2*F2)</f>
        <v>91.8</v>
      </c>
      <c r="H2" s="3">
        <f>D2*F2</f>
        <v>1.0893246187363835E-2</v>
      </c>
    </row>
    <row r="3" spans="1:8" x14ac:dyDescent="0.3">
      <c r="A3" s="1" t="s">
        <v>4</v>
      </c>
      <c r="B3" s="1">
        <v>1</v>
      </c>
      <c r="C3" s="1">
        <v>1</v>
      </c>
      <c r="D3" s="1">
        <f t="shared" ref="D3:D19" si="0">(B3+C3)/2</f>
        <v>1</v>
      </c>
      <c r="E3" s="1">
        <v>8</v>
      </c>
      <c r="F3" s="2">
        <f t="shared" ref="F3:F19" si="1">E3/SUM(E$2:E$19)</f>
        <v>1.7429193899782137E-2</v>
      </c>
      <c r="G3" s="3">
        <f t="shared" ref="G3:G19" si="2">1/(D3*F3)</f>
        <v>57.374999999999993</v>
      </c>
      <c r="H3" s="3">
        <f t="shared" ref="H3:H19" si="3">D3*F3</f>
        <v>1.7429193899782137E-2</v>
      </c>
    </row>
    <row r="4" spans="1:8" x14ac:dyDescent="0.3">
      <c r="A4" s="1" t="s">
        <v>5</v>
      </c>
      <c r="B4" s="1">
        <v>1</v>
      </c>
      <c r="C4" s="1">
        <v>1</v>
      </c>
      <c r="D4" s="1">
        <f t="shared" si="0"/>
        <v>1</v>
      </c>
      <c r="E4" s="1">
        <v>8</v>
      </c>
      <c r="F4" s="2">
        <f t="shared" si="1"/>
        <v>1.7429193899782137E-2</v>
      </c>
      <c r="G4" s="3">
        <f t="shared" si="2"/>
        <v>57.374999999999993</v>
      </c>
      <c r="H4" s="3">
        <f t="shared" si="3"/>
        <v>1.7429193899782137E-2</v>
      </c>
    </row>
    <row r="5" spans="1:8" x14ac:dyDescent="0.3">
      <c r="A5" s="1" t="s">
        <v>6</v>
      </c>
      <c r="B5" s="1">
        <v>1</v>
      </c>
      <c r="C5" s="1">
        <v>1</v>
      </c>
      <c r="D5" s="1">
        <f t="shared" si="0"/>
        <v>1</v>
      </c>
      <c r="E5" s="1">
        <v>8</v>
      </c>
      <c r="F5" s="2">
        <f t="shared" si="1"/>
        <v>1.7429193899782137E-2</v>
      </c>
      <c r="G5" s="3">
        <f t="shared" si="2"/>
        <v>57.374999999999993</v>
      </c>
      <c r="H5" s="3">
        <f t="shared" si="3"/>
        <v>1.7429193899782137E-2</v>
      </c>
    </row>
    <row r="6" spans="1:8" x14ac:dyDescent="0.3">
      <c r="A6" s="1" t="s">
        <v>7</v>
      </c>
      <c r="B6" s="1">
        <v>1</v>
      </c>
      <c r="C6" s="1">
        <v>1</v>
      </c>
      <c r="D6" s="1">
        <f t="shared" si="0"/>
        <v>1</v>
      </c>
      <c r="E6" s="1">
        <v>10</v>
      </c>
      <c r="F6" s="2">
        <f t="shared" si="1"/>
        <v>2.178649237472767E-2</v>
      </c>
      <c r="G6" s="3">
        <f t="shared" si="2"/>
        <v>45.9</v>
      </c>
      <c r="H6" s="3">
        <f t="shared" si="3"/>
        <v>2.178649237472767E-2</v>
      </c>
    </row>
    <row r="7" spans="1:8" x14ac:dyDescent="0.3">
      <c r="A7" s="1" t="s">
        <v>8</v>
      </c>
      <c r="B7" s="1">
        <v>10</v>
      </c>
      <c r="C7" s="1">
        <v>36</v>
      </c>
      <c r="D7" s="1">
        <f t="shared" si="0"/>
        <v>23</v>
      </c>
      <c r="E7" s="1">
        <v>10</v>
      </c>
      <c r="F7" s="2">
        <f t="shared" si="1"/>
        <v>2.178649237472767E-2</v>
      </c>
      <c r="G7" s="3">
        <f t="shared" si="2"/>
        <v>1.9956521739130433</v>
      </c>
      <c r="H7" s="3">
        <f t="shared" si="3"/>
        <v>0.50108932461873645</v>
      </c>
    </row>
    <row r="8" spans="1:8" x14ac:dyDescent="0.3">
      <c r="A8" s="1" t="s">
        <v>9</v>
      </c>
      <c r="B8" s="1">
        <v>2</v>
      </c>
      <c r="C8" s="1">
        <v>4</v>
      </c>
      <c r="D8" s="1">
        <f t="shared" si="0"/>
        <v>3</v>
      </c>
      <c r="E8" s="1">
        <v>10</v>
      </c>
      <c r="F8" s="2">
        <f t="shared" si="1"/>
        <v>2.178649237472767E-2</v>
      </c>
      <c r="G8" s="3">
        <f t="shared" si="2"/>
        <v>15.299999999999999</v>
      </c>
      <c r="H8" s="3">
        <f t="shared" si="3"/>
        <v>6.535947712418301E-2</v>
      </c>
    </row>
    <row r="9" spans="1:8" x14ac:dyDescent="0.3">
      <c r="A9" s="1" t="s">
        <v>10</v>
      </c>
      <c r="B9" s="1">
        <v>3</v>
      </c>
      <c r="C9" s="1">
        <v>9</v>
      </c>
      <c r="D9" s="1">
        <f t="shared" si="0"/>
        <v>6</v>
      </c>
      <c r="E9" s="1">
        <v>20</v>
      </c>
      <c r="F9" s="2">
        <f t="shared" si="1"/>
        <v>4.357298474945534E-2</v>
      </c>
      <c r="G9" s="3">
        <f t="shared" si="2"/>
        <v>3.8249999999999997</v>
      </c>
      <c r="H9" s="3">
        <f t="shared" si="3"/>
        <v>0.26143790849673204</v>
      </c>
    </row>
    <row r="10" spans="1:8" x14ac:dyDescent="0.3">
      <c r="A10" s="1" t="s">
        <v>11</v>
      </c>
      <c r="B10" s="1">
        <v>5</v>
      </c>
      <c r="C10" s="1">
        <v>12</v>
      </c>
      <c r="D10" s="1">
        <f t="shared" si="0"/>
        <v>8.5</v>
      </c>
      <c r="E10" s="1">
        <v>20</v>
      </c>
      <c r="F10" s="2">
        <f t="shared" si="1"/>
        <v>4.357298474945534E-2</v>
      </c>
      <c r="G10" s="3">
        <f t="shared" si="2"/>
        <v>2.6999999999999997</v>
      </c>
      <c r="H10" s="3">
        <f t="shared" si="3"/>
        <v>0.37037037037037041</v>
      </c>
    </row>
    <row r="11" spans="1:8" x14ac:dyDescent="0.3">
      <c r="A11" s="1" t="s">
        <v>12</v>
      </c>
      <c r="B11" s="1">
        <v>1</v>
      </c>
      <c r="C11" s="1">
        <v>1</v>
      </c>
      <c r="D11" s="1">
        <f t="shared" si="0"/>
        <v>1</v>
      </c>
      <c r="E11" s="1">
        <v>40</v>
      </c>
      <c r="F11" s="2">
        <f t="shared" si="1"/>
        <v>8.714596949891068E-2</v>
      </c>
      <c r="G11" s="3">
        <f t="shared" si="2"/>
        <v>11.475</v>
      </c>
      <c r="H11" s="3">
        <f t="shared" si="3"/>
        <v>8.714596949891068E-2</v>
      </c>
    </row>
    <row r="12" spans="1:8" x14ac:dyDescent="0.3">
      <c r="A12" s="1" t="s">
        <v>13</v>
      </c>
      <c r="B12" s="1">
        <v>1</v>
      </c>
      <c r="C12" s="1">
        <v>3</v>
      </c>
      <c r="D12" s="1">
        <f t="shared" si="0"/>
        <v>2</v>
      </c>
      <c r="E12" s="1">
        <v>40</v>
      </c>
      <c r="F12" s="2">
        <f t="shared" si="1"/>
        <v>8.714596949891068E-2</v>
      </c>
      <c r="G12" s="3">
        <f t="shared" si="2"/>
        <v>5.7374999999999998</v>
      </c>
      <c r="H12" s="3">
        <f t="shared" si="3"/>
        <v>0.17429193899782136</v>
      </c>
    </row>
    <row r="13" spans="1:8" x14ac:dyDescent="0.3">
      <c r="A13" s="1" t="s">
        <v>14</v>
      </c>
      <c r="B13" s="1">
        <v>1</v>
      </c>
      <c r="C13" s="1">
        <v>1</v>
      </c>
      <c r="D13" s="1">
        <f t="shared" si="0"/>
        <v>1</v>
      </c>
      <c r="E13" s="1">
        <v>40</v>
      </c>
      <c r="F13" s="2">
        <f t="shared" si="1"/>
        <v>8.714596949891068E-2</v>
      </c>
      <c r="G13" s="3">
        <f t="shared" si="2"/>
        <v>11.475</v>
      </c>
      <c r="H13" s="3">
        <f t="shared" si="3"/>
        <v>8.714596949891068E-2</v>
      </c>
    </row>
    <row r="14" spans="1:8" x14ac:dyDescent="0.3">
      <c r="A14" s="1" t="s">
        <v>15</v>
      </c>
      <c r="B14" s="1">
        <v>2</v>
      </c>
      <c r="C14" s="1">
        <v>4</v>
      </c>
      <c r="D14" s="1">
        <f t="shared" si="0"/>
        <v>3</v>
      </c>
      <c r="E14" s="1">
        <v>40</v>
      </c>
      <c r="F14" s="2">
        <f t="shared" si="1"/>
        <v>8.714596949891068E-2</v>
      </c>
      <c r="G14" s="3">
        <f t="shared" si="2"/>
        <v>3.8249999999999997</v>
      </c>
      <c r="H14" s="3">
        <f t="shared" si="3"/>
        <v>0.26143790849673204</v>
      </c>
    </row>
    <row r="15" spans="1:8" x14ac:dyDescent="0.3">
      <c r="A15" s="1" t="s">
        <v>16</v>
      </c>
      <c r="B15" s="1">
        <v>2</v>
      </c>
      <c r="C15" s="1">
        <v>8</v>
      </c>
      <c r="D15" s="1">
        <f t="shared" si="0"/>
        <v>5</v>
      </c>
      <c r="E15" s="1">
        <v>40</v>
      </c>
      <c r="F15" s="2">
        <f t="shared" si="1"/>
        <v>8.714596949891068E-2</v>
      </c>
      <c r="G15" s="3">
        <f t="shared" si="2"/>
        <v>2.2949999999999999</v>
      </c>
      <c r="H15" s="3">
        <f t="shared" si="3"/>
        <v>0.4357298474945534</v>
      </c>
    </row>
    <row r="16" spans="1:8" x14ac:dyDescent="0.3">
      <c r="A16" s="1" t="s">
        <v>17</v>
      </c>
      <c r="B16" s="1">
        <v>2</v>
      </c>
      <c r="C16" s="1">
        <v>8</v>
      </c>
      <c r="D16" s="1">
        <f t="shared" si="0"/>
        <v>5</v>
      </c>
      <c r="E16" s="1">
        <v>40</v>
      </c>
      <c r="F16" s="2">
        <f t="shared" si="1"/>
        <v>8.714596949891068E-2</v>
      </c>
      <c r="G16" s="3">
        <f t="shared" si="2"/>
        <v>2.2949999999999999</v>
      </c>
      <c r="H16" s="3">
        <f t="shared" si="3"/>
        <v>0.4357298474945534</v>
      </c>
    </row>
    <row r="17" spans="1:8" x14ac:dyDescent="0.3">
      <c r="A17" s="1" t="s">
        <v>18</v>
      </c>
      <c r="B17" s="1">
        <v>6</v>
      </c>
      <c r="C17" s="1">
        <v>12</v>
      </c>
      <c r="D17" s="1">
        <f t="shared" si="0"/>
        <v>9</v>
      </c>
      <c r="E17" s="1">
        <v>40</v>
      </c>
      <c r="F17" s="2">
        <f t="shared" si="1"/>
        <v>8.714596949891068E-2</v>
      </c>
      <c r="G17" s="3">
        <f t="shared" si="2"/>
        <v>1.2749999999999999</v>
      </c>
      <c r="H17" s="3">
        <f t="shared" si="3"/>
        <v>0.78431372549019618</v>
      </c>
    </row>
    <row r="18" spans="1:8" x14ac:dyDescent="0.3">
      <c r="A18" s="1" t="s">
        <v>19</v>
      </c>
      <c r="B18" s="1">
        <v>8</v>
      </c>
      <c r="C18" s="1">
        <v>16</v>
      </c>
      <c r="D18" s="1">
        <f t="shared" si="0"/>
        <v>12</v>
      </c>
      <c r="E18" s="1">
        <v>40</v>
      </c>
      <c r="F18" s="2">
        <f t="shared" si="1"/>
        <v>8.714596949891068E-2</v>
      </c>
      <c r="G18" s="3">
        <f t="shared" si="2"/>
        <v>0.95624999999999993</v>
      </c>
      <c r="H18" s="3">
        <f t="shared" si="3"/>
        <v>1.0457516339869282</v>
      </c>
    </row>
    <row r="19" spans="1:8" x14ac:dyDescent="0.3">
      <c r="A19" s="1" t="s">
        <v>20</v>
      </c>
      <c r="B19" s="1">
        <v>8</v>
      </c>
      <c r="C19" s="1">
        <v>16</v>
      </c>
      <c r="D19" s="1">
        <f t="shared" si="0"/>
        <v>12</v>
      </c>
      <c r="E19" s="1">
        <v>40</v>
      </c>
      <c r="F19" s="2">
        <f t="shared" si="1"/>
        <v>8.714596949891068E-2</v>
      </c>
      <c r="G19" s="3">
        <f t="shared" si="2"/>
        <v>0.95624999999999993</v>
      </c>
      <c r="H19" s="3">
        <f t="shared" si="3"/>
        <v>1.0457516339869282</v>
      </c>
    </row>
    <row r="20" spans="1:8" x14ac:dyDescent="0.3">
      <c r="E20" s="1" t="str">
        <f>"总权重："&amp;SUM(E2:E19)</f>
        <v>总权重：459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acacia acacia</dc:creator>
  <cp:lastModifiedBy>acacia acacia</cp:lastModifiedBy>
  <dcterms:created xsi:type="dcterms:W3CDTF">2015-06-05T18:19:34Z</dcterms:created>
  <dcterms:modified xsi:type="dcterms:W3CDTF">2025-01-16T16:47:27Z</dcterms:modified>
</cp:coreProperties>
</file>