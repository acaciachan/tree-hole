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Minecraft\tree-hole\方块 block\"/>
    </mc:Choice>
  </mc:AlternateContent>
  <xr:revisionPtr revIDLastSave="0" documentId="13_ncr:1_{079FDD40-3E0F-4011-8452-33555790057F}" xr6:coauthVersionLast="47" xr6:coauthVersionMax="47" xr10:uidLastSave="{00000000-0000-0000-0000-000000000000}"/>
  <bookViews>
    <workbookView xWindow="-110" yWindow="-110" windowWidth="25820" windowHeight="14020" activeTab="1" xr2:uid="{00000000-000D-0000-FFFF-FFFF00000000}"/>
  </bookViews>
  <sheets>
    <sheet name="试炼" sheetId="2" r:id="rId1"/>
    <sheet name="宝库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3" i="1"/>
  <c r="J4" i="1"/>
  <c r="K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K2" i="1"/>
  <c r="J2" i="1"/>
  <c r="F31" i="1"/>
  <c r="H31" i="1" s="1"/>
  <c r="E46" i="1"/>
  <c r="F46" i="1" s="1"/>
  <c r="E45" i="1"/>
  <c r="F45" i="1" s="1"/>
  <c r="E44" i="1"/>
  <c r="F44" i="1" s="1"/>
  <c r="E43" i="1"/>
  <c r="F43" i="1" s="1"/>
  <c r="E42" i="1"/>
  <c r="F42" i="1" s="1"/>
  <c r="H42" i="1" s="1"/>
  <c r="E41" i="1"/>
  <c r="F41" i="1" s="1"/>
  <c r="H41" i="1" s="1"/>
  <c r="E40" i="1"/>
  <c r="F40" i="1" s="1"/>
  <c r="H40" i="1" s="1"/>
  <c r="E39" i="1"/>
  <c r="F39" i="1" s="1"/>
  <c r="E38" i="1"/>
  <c r="F38" i="1" s="1"/>
  <c r="E37" i="1"/>
  <c r="F37" i="1" s="1"/>
  <c r="E36" i="1"/>
  <c r="F36" i="1" s="1"/>
  <c r="E35" i="1"/>
  <c r="F35" i="1" s="1"/>
  <c r="H35" i="1" s="1"/>
  <c r="E34" i="1"/>
  <c r="F34" i="1" s="1"/>
  <c r="H34" i="1" s="1"/>
  <c r="E33" i="1"/>
  <c r="F33" i="1" s="1"/>
  <c r="H33" i="1" s="1"/>
  <c r="E32" i="1"/>
  <c r="F32" i="1" s="1"/>
  <c r="H32" i="1" s="1"/>
  <c r="E31" i="1"/>
  <c r="E30" i="1"/>
  <c r="F30" i="1" s="1"/>
  <c r="E29" i="1"/>
  <c r="F29" i="1" s="1"/>
  <c r="E28" i="1"/>
  <c r="F28" i="1" s="1"/>
  <c r="E27" i="1"/>
  <c r="F27" i="1" s="1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H19" i="1" s="1"/>
  <c r="E18" i="1"/>
  <c r="F18" i="1" s="1"/>
  <c r="E17" i="1"/>
  <c r="F17" i="1" s="1"/>
  <c r="E16" i="1"/>
  <c r="F16" i="1" s="1"/>
  <c r="H16" i="1" s="1"/>
  <c r="E15" i="1"/>
  <c r="F15" i="1" s="1"/>
  <c r="E14" i="1"/>
  <c r="F14" i="1" s="1"/>
  <c r="E13" i="1"/>
  <c r="F13" i="1" s="1"/>
  <c r="E12" i="1"/>
  <c r="F12" i="1" s="1"/>
  <c r="E11" i="1"/>
  <c r="F11" i="1" s="1"/>
  <c r="H11" i="1" s="1"/>
  <c r="E10" i="1"/>
  <c r="F10" i="1" s="1"/>
  <c r="H10" i="1" s="1"/>
  <c r="E5" i="1"/>
  <c r="F5" i="1" s="1"/>
  <c r="G5" i="1" s="1"/>
  <c r="I5" i="1" s="1"/>
  <c r="E6" i="1"/>
  <c r="F6" i="1" s="1"/>
  <c r="G6" i="1" s="1"/>
  <c r="I6" i="1" s="1"/>
  <c r="E7" i="1"/>
  <c r="F7" i="1" s="1"/>
  <c r="E8" i="1"/>
  <c r="F8" i="1" s="1"/>
  <c r="E9" i="1"/>
  <c r="F9" i="1" s="1"/>
  <c r="E4" i="1"/>
  <c r="F4" i="1" s="1"/>
  <c r="E3" i="1"/>
  <c r="F3" i="1" s="1"/>
  <c r="G3" i="1" s="1"/>
  <c r="I3" i="1" s="1"/>
  <c r="E2" i="1"/>
  <c r="F2" i="1" s="1"/>
  <c r="H15" i="1" l="1"/>
  <c r="G15" i="1"/>
  <c r="I15" i="1" s="1"/>
  <c r="G2" i="1"/>
  <c r="I2" i="1" s="1"/>
  <c r="H2" i="1"/>
  <c r="G40" i="1"/>
  <c r="I40" i="1" s="1"/>
  <c r="H28" i="1"/>
  <c r="G28" i="1"/>
  <c r="I28" i="1" s="1"/>
  <c r="G36" i="1"/>
  <c r="I36" i="1" s="1"/>
  <c r="H36" i="1"/>
  <c r="H30" i="1"/>
  <c r="G30" i="1"/>
  <c r="I30" i="1" s="1"/>
  <c r="H17" i="1"/>
  <c r="G17" i="1"/>
  <c r="I17" i="1" s="1"/>
  <c r="G38" i="1"/>
  <c r="I38" i="1" s="1"/>
  <c r="H38" i="1"/>
  <c r="G23" i="1"/>
  <c r="I23" i="1" s="1"/>
  <c r="H23" i="1"/>
  <c r="G24" i="1"/>
  <c r="I24" i="1" s="1"/>
  <c r="H24" i="1"/>
  <c r="H9" i="1"/>
  <c r="G9" i="1"/>
  <c r="I9" i="1" s="1"/>
  <c r="H29" i="1"/>
  <c r="G29" i="1"/>
  <c r="I29" i="1" s="1"/>
  <c r="H12" i="1"/>
  <c r="G12" i="1"/>
  <c r="I12" i="1" s="1"/>
  <c r="H37" i="1"/>
  <c r="G37" i="1"/>
  <c r="I37" i="1" s="1"/>
  <c r="H18" i="1"/>
  <c r="G18" i="1"/>
  <c r="I18" i="1" s="1"/>
  <c r="G39" i="1"/>
  <c r="I39" i="1" s="1"/>
  <c r="H39" i="1"/>
  <c r="G21" i="1"/>
  <c r="I21" i="1" s="1"/>
  <c r="H21" i="1"/>
  <c r="G45" i="1"/>
  <c r="I45" i="1" s="1"/>
  <c r="H45" i="1"/>
  <c r="H8" i="1"/>
  <c r="G8" i="1"/>
  <c r="I8" i="1" s="1"/>
  <c r="G26" i="1"/>
  <c r="I26" i="1" s="1"/>
  <c r="H26" i="1"/>
  <c r="H46" i="1"/>
  <c r="G46" i="1"/>
  <c r="I46" i="1" s="1"/>
  <c r="G13" i="1"/>
  <c r="I13" i="1" s="1"/>
  <c r="H13" i="1"/>
  <c r="G14" i="1"/>
  <c r="I14" i="1" s="1"/>
  <c r="H14" i="1"/>
  <c r="H20" i="1"/>
  <c r="G20" i="1"/>
  <c r="I20" i="1" s="1"/>
  <c r="G22" i="1"/>
  <c r="I22" i="1" s="1"/>
  <c r="H22" i="1"/>
  <c r="H43" i="1"/>
  <c r="G43" i="1"/>
  <c r="I43" i="1" s="1"/>
  <c r="G4" i="1"/>
  <c r="I4" i="1" s="1"/>
  <c r="H4" i="1"/>
  <c r="H44" i="1"/>
  <c r="G44" i="1"/>
  <c r="I44" i="1" s="1"/>
  <c r="G25" i="1"/>
  <c r="I25" i="1" s="1"/>
  <c r="H25" i="1"/>
  <c r="H7" i="1"/>
  <c r="G7" i="1"/>
  <c r="I7" i="1" s="1"/>
  <c r="G27" i="1"/>
  <c r="I27" i="1" s="1"/>
  <c r="H27" i="1"/>
  <c r="G42" i="1"/>
  <c r="I42" i="1" s="1"/>
  <c r="H6" i="1"/>
  <c r="H5" i="1"/>
  <c r="G19" i="1"/>
  <c r="I19" i="1" s="1"/>
  <c r="H3" i="1"/>
  <c r="G16" i="1"/>
  <c r="I16" i="1" s="1"/>
  <c r="G41" i="1"/>
  <c r="I41" i="1" s="1"/>
  <c r="G10" i="1"/>
  <c r="I10" i="1" s="1"/>
  <c r="G35" i="1"/>
  <c r="I35" i="1" s="1"/>
  <c r="G11" i="1"/>
  <c r="I11" i="1" s="1"/>
  <c r="G34" i="1"/>
  <c r="I34" i="1" s="1"/>
  <c r="G33" i="1"/>
  <c r="I33" i="1" s="1"/>
  <c r="G32" i="1"/>
  <c r="I32" i="1" s="1"/>
  <c r="G31" i="1"/>
  <c r="I31" i="1" s="1"/>
</calcChain>
</file>

<file path=xl/sharedStrings.xml><?xml version="1.0" encoding="utf-8"?>
<sst xmlns="http://schemas.openxmlformats.org/spreadsheetml/2006/main" count="111" uniqueCount="64">
  <si>
    <t>普通</t>
    <phoneticPr fontId="1" type="noConversion"/>
  </si>
  <si>
    <t>稀有</t>
    <phoneticPr fontId="1" type="noConversion"/>
  </si>
  <si>
    <t>独有</t>
    <phoneticPr fontId="1" type="noConversion"/>
  </si>
  <si>
    <t>不祥普通</t>
    <phoneticPr fontId="1" type="noConversion"/>
  </si>
  <si>
    <t>不祥独有</t>
    <phoneticPr fontId="1" type="noConversion"/>
  </si>
  <si>
    <t>不祥稀有</t>
    <phoneticPr fontId="1" type="noConversion"/>
  </si>
  <si>
    <t>物品</t>
    <phoneticPr fontId="1" type="noConversion"/>
  </si>
  <si>
    <t>箭</t>
    <phoneticPr fontId="1" type="noConversion"/>
  </si>
  <si>
    <t>绿宝石</t>
    <phoneticPr fontId="1" type="noConversion"/>
  </si>
  <si>
    <t>剧毒之箭</t>
    <phoneticPr fontId="1" type="noConversion"/>
  </si>
  <si>
    <t>蜂蜜瓶</t>
    <phoneticPr fontId="1" type="noConversion"/>
  </si>
  <si>
    <t>铁锭</t>
    <phoneticPr fontId="1" type="noConversion"/>
  </si>
  <si>
    <t>风弹</t>
    <phoneticPr fontId="1" type="noConversion"/>
  </si>
  <si>
    <t>盾牌(0.5~1耐久)</t>
    <phoneticPr fontId="1" type="noConversion"/>
  </si>
  <si>
    <t>弓(5~15附魔+宝藏)</t>
    <phoneticPr fontId="1" type="noConversion"/>
  </si>
  <si>
    <t>金胡萝卜</t>
    <phoneticPr fontId="1" type="noConversion"/>
  </si>
  <si>
    <t>钻石胸甲(5~15附魔+宝藏)</t>
    <phoneticPr fontId="1" type="noConversion"/>
  </si>
  <si>
    <t>钻石斧(5~15附魔+宝藏)</t>
    <phoneticPr fontId="1" type="noConversion"/>
  </si>
  <si>
    <t>铁斧(0~10附魔+宝藏)</t>
    <phoneticPr fontId="1" type="noConversion"/>
  </si>
  <si>
    <t>弩(5~20附魔+宝藏)</t>
    <phoneticPr fontId="1" type="noConversion"/>
  </si>
  <si>
    <t>附魔书(三叉戟+精修)</t>
    <phoneticPr fontId="1" type="noConversion"/>
  </si>
  <si>
    <t>铁胸甲(0~10附魔+宝藏)</t>
    <phoneticPr fontId="1" type="noConversion"/>
  </si>
  <si>
    <t>钻石</t>
    <phoneticPr fontId="1" type="noConversion"/>
  </si>
  <si>
    <t>金苹果</t>
    <phoneticPr fontId="1" type="noConversion"/>
  </si>
  <si>
    <t>旗帜图案(旋风)</t>
    <phoneticPr fontId="1" type="noConversion"/>
  </si>
  <si>
    <t>三叉戟</t>
    <phoneticPr fontId="1" type="noConversion"/>
  </si>
  <si>
    <t>钻石斧(10~20附魔+宝藏)</t>
    <phoneticPr fontId="1" type="noConversion"/>
  </si>
  <si>
    <t>钻石胸甲(10~20附魔+宝藏)</t>
    <phoneticPr fontId="1" type="noConversion"/>
  </si>
  <si>
    <t>绿宝石块</t>
    <phoneticPr fontId="1" type="noConversion"/>
  </si>
  <si>
    <t>铁块</t>
    <phoneticPr fontId="1" type="noConversion"/>
  </si>
  <si>
    <t>钻石块</t>
    <phoneticPr fontId="1" type="noConversion"/>
  </si>
  <si>
    <t>迟缓之箭4</t>
    <phoneticPr fontId="1" type="noConversion"/>
  </si>
  <si>
    <t>附魔书(风暴1)</t>
    <phoneticPr fontId="1" type="noConversion"/>
  </si>
  <si>
    <t>附魔书(破甲、致密)</t>
    <phoneticPr fontId="1" type="noConversion"/>
  </si>
  <si>
    <t>附魔书(击退、冲击、亡灵杀手、多重射击)</t>
    <phoneticPr fontId="1" type="noConversion"/>
  </si>
  <si>
    <t>附魔金苹果</t>
    <phoneticPr fontId="1" type="noConversion"/>
  </si>
  <si>
    <t>盔甲纹饰锻造模版(涡流)</t>
    <phoneticPr fontId="1" type="noConversion"/>
  </si>
  <si>
    <t>旗帜图案(涡流)</t>
    <phoneticPr fontId="1" type="noConversion"/>
  </si>
  <si>
    <t>唱片(Creator)(12)</t>
    <phoneticPr fontId="1" type="noConversion"/>
  </si>
  <si>
    <t>唱片(Precipice)(13)</t>
    <phoneticPr fontId="1" type="noConversion"/>
  </si>
  <si>
    <t>沉重核心</t>
    <phoneticPr fontId="1" type="noConversion"/>
  </si>
  <si>
    <t>盔甲纹饰锻造模板(镶铆)</t>
    <phoneticPr fontId="1" type="noConversion"/>
  </si>
  <si>
    <t>不祥之瓶(3~5级)</t>
    <phoneticPr fontId="1" type="noConversion"/>
  </si>
  <si>
    <t>最小数量</t>
    <phoneticPr fontId="1" type="noConversion"/>
  </si>
  <si>
    <t>最大数量</t>
    <phoneticPr fontId="1" type="noConversion"/>
  </si>
  <si>
    <t>概率</t>
    <phoneticPr fontId="1" type="noConversion"/>
  </si>
  <si>
    <t>附魔书(杀手、工具、摔落缓冲)</t>
    <phoneticPr fontId="1" type="noConversion"/>
  </si>
  <si>
    <t>每个钥匙产量</t>
    <phoneticPr fontId="1" type="noConversion"/>
  </si>
  <si>
    <t>钥匙期望</t>
    <phoneticPr fontId="1" type="noConversion"/>
  </si>
  <si>
    <t>试炼次数期望</t>
    <phoneticPr fontId="1" type="noConversion"/>
  </si>
  <si>
    <t>单次试炼产量</t>
    <phoneticPr fontId="1" type="noConversion"/>
  </si>
  <si>
    <t>来源</t>
    <phoneticPr fontId="1" type="noConversion"/>
  </si>
  <si>
    <t>每个钥匙</t>
    <phoneticPr fontId="1" type="noConversion"/>
  </si>
  <si>
    <t>普通</t>
    <phoneticPr fontId="1" type="noConversion"/>
  </si>
  <si>
    <t>稀有</t>
    <phoneticPr fontId="1" type="noConversion"/>
  </si>
  <si>
    <t>独立</t>
    <phoneticPr fontId="1" type="noConversion"/>
  </si>
  <si>
    <t>不祥普通</t>
    <phoneticPr fontId="1" type="noConversion"/>
  </si>
  <si>
    <t>不祥稀有</t>
    <phoneticPr fontId="1" type="noConversion"/>
  </si>
  <si>
    <t>不祥独立</t>
    <phoneticPr fontId="1" type="noConversion"/>
  </si>
  <si>
    <t>首先，0.8稀有，0.2普通</t>
    <phoneticPr fontId="1" type="noConversion"/>
  </si>
  <si>
    <t>其次，随机1~3次普通</t>
    <phoneticPr fontId="1" type="noConversion"/>
  </si>
  <si>
    <t>最后，普通宝库0.25概率独有，不祥宝库0.75概率独有</t>
    <phoneticPr fontId="1" type="noConversion"/>
  </si>
  <si>
    <t>每盒的钥匙期望数量</t>
    <phoneticPr fontId="1" type="noConversion"/>
  </si>
  <si>
    <t>每盒的试炼期望次数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</si>
</sst>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2" fillId="0" borderId="0" xfId="0" applyFont="1"/>
    <xf numFmtId="176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33247-56D9-46F3-B7AA-0EBF4B218712}">
  <dimension ref="A1:D7"/>
  <sheetViews>
    <sheetView workbookViewId="0"/>
  </sheetViews>
  <sheetFormatPr defaultRowHeight="14" x14ac:dyDescent="0.3"/>
  <cols>
    <col min="5" max="5" width="36.9140625" customWidth="1"/>
  </cols>
  <sheetData>
    <row r="1" spans="1:4" x14ac:dyDescent="0.3">
      <c r="B1" t="s">
        <v>52</v>
      </c>
      <c r="D1" t="s">
        <v>59</v>
      </c>
    </row>
    <row r="2" spans="1:4" x14ac:dyDescent="0.3">
      <c r="A2" t="s">
        <v>53</v>
      </c>
      <c r="B2">
        <v>2.2000000000000002</v>
      </c>
      <c r="D2" t="s">
        <v>60</v>
      </c>
    </row>
    <row r="3" spans="1:4" x14ac:dyDescent="0.3">
      <c r="A3" t="s">
        <v>54</v>
      </c>
      <c r="B3">
        <v>0.8</v>
      </c>
      <c r="D3" t="s">
        <v>61</v>
      </c>
    </row>
    <row r="4" spans="1:4" x14ac:dyDescent="0.3">
      <c r="A4" t="s">
        <v>55</v>
      </c>
      <c r="B4">
        <v>0.25</v>
      </c>
    </row>
    <row r="5" spans="1:4" x14ac:dyDescent="0.3">
      <c r="A5" t="s">
        <v>56</v>
      </c>
      <c r="B5">
        <v>2.2000000000000002</v>
      </c>
    </row>
    <row r="6" spans="1:4" x14ac:dyDescent="0.3">
      <c r="A6" t="s">
        <v>57</v>
      </c>
      <c r="B6">
        <v>0.8</v>
      </c>
    </row>
    <row r="7" spans="1:4" x14ac:dyDescent="0.3">
      <c r="A7" t="s">
        <v>58</v>
      </c>
      <c r="B7">
        <v>0.75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workbookViewId="0">
      <pane ySplit="1" topLeftCell="A2" activePane="bottomLeft" state="frozen"/>
      <selection pane="bottomLeft"/>
    </sheetView>
  </sheetViews>
  <sheetFormatPr defaultRowHeight="14" x14ac:dyDescent="0.3"/>
  <cols>
    <col min="2" max="2" width="36.33203125" customWidth="1"/>
    <col min="3" max="4" width="8.75" style="1" bestFit="1" customWidth="1"/>
    <col min="5" max="5" width="9.08203125" style="1" bestFit="1" customWidth="1"/>
    <col min="6" max="6" width="11.08203125" style="1" customWidth="1"/>
    <col min="7" max="7" width="13.25" style="1" customWidth="1"/>
    <col min="8" max="8" width="12.5" style="1" customWidth="1"/>
    <col min="9" max="9" width="12.08203125" style="1" customWidth="1"/>
    <col min="10" max="10" width="17.4140625" customWidth="1"/>
  </cols>
  <sheetData>
    <row r="1" spans="1:11" s="2" customFormat="1" x14ac:dyDescent="0.3">
      <c r="A1" s="2" t="s">
        <v>51</v>
      </c>
      <c r="B1" s="2" t="s">
        <v>6</v>
      </c>
      <c r="C1" s="3" t="s">
        <v>43</v>
      </c>
      <c r="D1" s="3" t="s">
        <v>44</v>
      </c>
      <c r="E1" s="3" t="s">
        <v>45</v>
      </c>
      <c r="F1" s="3" t="s">
        <v>47</v>
      </c>
      <c r="G1" s="3" t="s">
        <v>50</v>
      </c>
      <c r="H1" s="3" t="s">
        <v>48</v>
      </c>
      <c r="I1" s="3" t="s">
        <v>49</v>
      </c>
      <c r="J1" s="2" t="s">
        <v>62</v>
      </c>
      <c r="K1" s="2" t="s">
        <v>63</v>
      </c>
    </row>
    <row r="2" spans="1:11" x14ac:dyDescent="0.3">
      <c r="A2" t="s">
        <v>0</v>
      </c>
      <c r="B2" t="s">
        <v>7</v>
      </c>
      <c r="C2" s="1">
        <v>2</v>
      </c>
      <c r="D2" s="1">
        <v>8</v>
      </c>
      <c r="E2" s="1">
        <f>4/25</f>
        <v>0.16</v>
      </c>
      <c r="F2" s="1">
        <f>2.2*E2*(C2+D2)/2</f>
        <v>1.7600000000000002</v>
      </c>
      <c r="G2" s="1">
        <f>F2*0.5</f>
        <v>0.88000000000000012</v>
      </c>
      <c r="H2" s="1">
        <f>1/F2</f>
        <v>0.56818181818181812</v>
      </c>
      <c r="I2" s="1">
        <f>1/G2</f>
        <v>1.1363636363636362</v>
      </c>
      <c r="J2">
        <f>H2*1728</f>
        <v>981.81818181818176</v>
      </c>
      <c r="K2">
        <f>I2*1728</f>
        <v>1963.6363636363635</v>
      </c>
    </row>
    <row r="3" spans="1:11" x14ac:dyDescent="0.3">
      <c r="A3" t="s">
        <v>0</v>
      </c>
      <c r="B3" t="s">
        <v>9</v>
      </c>
      <c r="C3" s="1">
        <v>2</v>
      </c>
      <c r="D3" s="1">
        <v>8</v>
      </c>
      <c r="E3" s="1">
        <f>4/25</f>
        <v>0.16</v>
      </c>
      <c r="F3" s="1">
        <f t="shared" ref="F3:F31" si="0">2.2*E3*(C3+D3)/2</f>
        <v>1.7600000000000002</v>
      </c>
      <c r="G3" s="1">
        <f t="shared" ref="G3:G26" si="1">F3*0.5</f>
        <v>0.88000000000000012</v>
      </c>
      <c r="H3" s="1">
        <f t="shared" ref="H3:H46" si="2">1/F3</f>
        <v>0.56818181818181812</v>
      </c>
      <c r="I3" s="1">
        <f t="shared" ref="I3:I46" si="3">1/G3</f>
        <v>1.1363636363636362</v>
      </c>
      <c r="J3">
        <f t="shared" ref="J3:J46" si="4">H3*1728</f>
        <v>981.81818181818176</v>
      </c>
      <c r="K3">
        <f t="shared" ref="K3:K46" si="5">I3*1728</f>
        <v>1963.6363636363635</v>
      </c>
    </row>
    <row r="4" spans="1:11" s="2" customFormat="1" x14ac:dyDescent="0.3">
      <c r="A4" s="2" t="s">
        <v>0</v>
      </c>
      <c r="B4" s="2" t="s">
        <v>12</v>
      </c>
      <c r="C4" s="3">
        <v>1</v>
      </c>
      <c r="D4" s="3">
        <v>3</v>
      </c>
      <c r="E4" s="3">
        <f>3/25</f>
        <v>0.12</v>
      </c>
      <c r="F4" s="3">
        <f t="shared" si="0"/>
        <v>0.52800000000000002</v>
      </c>
      <c r="G4" s="3">
        <f t="shared" si="1"/>
        <v>0.26400000000000001</v>
      </c>
      <c r="H4" s="3">
        <f t="shared" si="2"/>
        <v>1.8939393939393938</v>
      </c>
      <c r="I4" s="3">
        <f t="shared" si="3"/>
        <v>3.7878787878787876</v>
      </c>
      <c r="J4">
        <f t="shared" si="4"/>
        <v>3272.7272727272725</v>
      </c>
      <c r="K4">
        <f t="shared" si="5"/>
        <v>6545.454545454545</v>
      </c>
    </row>
    <row r="5" spans="1:11" s="2" customFormat="1" x14ac:dyDescent="0.3">
      <c r="A5" s="2" t="s">
        <v>0</v>
      </c>
      <c r="B5" s="2" t="s">
        <v>12</v>
      </c>
      <c r="C5" s="3">
        <v>4</v>
      </c>
      <c r="D5" s="3">
        <v>12</v>
      </c>
      <c r="E5" s="3">
        <f>1/25</f>
        <v>0.04</v>
      </c>
      <c r="F5" s="3">
        <f t="shared" si="0"/>
        <v>0.70400000000000007</v>
      </c>
      <c r="G5" s="3">
        <f t="shared" si="1"/>
        <v>0.35200000000000004</v>
      </c>
      <c r="H5" s="3">
        <f t="shared" si="2"/>
        <v>1.4204545454545454</v>
      </c>
      <c r="I5" s="3">
        <f t="shared" si="3"/>
        <v>2.8409090909090908</v>
      </c>
      <c r="J5">
        <f t="shared" si="4"/>
        <v>2454.5454545454545</v>
      </c>
      <c r="K5">
        <f t="shared" si="5"/>
        <v>4909.090909090909</v>
      </c>
    </row>
    <row r="6" spans="1:11" x14ac:dyDescent="0.3">
      <c r="A6" t="s">
        <v>0</v>
      </c>
      <c r="B6" t="s">
        <v>11</v>
      </c>
      <c r="C6" s="1">
        <v>1</v>
      </c>
      <c r="D6" s="1">
        <v>4</v>
      </c>
      <c r="E6" s="1">
        <f>3/25</f>
        <v>0.12</v>
      </c>
      <c r="F6" s="1">
        <f t="shared" si="0"/>
        <v>0.66</v>
      </c>
      <c r="G6" s="1">
        <f t="shared" si="1"/>
        <v>0.33</v>
      </c>
      <c r="H6" s="1">
        <f t="shared" si="2"/>
        <v>1.5151515151515151</v>
      </c>
      <c r="I6" s="1">
        <f t="shared" si="3"/>
        <v>3.0303030303030303</v>
      </c>
      <c r="J6">
        <f t="shared" si="4"/>
        <v>2618.181818181818</v>
      </c>
      <c r="K6">
        <f t="shared" si="5"/>
        <v>5236.363636363636</v>
      </c>
    </row>
    <row r="7" spans="1:11" x14ac:dyDescent="0.3">
      <c r="A7" t="s">
        <v>0</v>
      </c>
      <c r="B7" t="s">
        <v>8</v>
      </c>
      <c r="C7" s="1">
        <v>2</v>
      </c>
      <c r="D7" s="1">
        <v>4</v>
      </c>
      <c r="E7" s="1">
        <f>4/25</f>
        <v>0.16</v>
      </c>
      <c r="F7" s="1">
        <f t="shared" si="0"/>
        <v>1.056</v>
      </c>
      <c r="G7" s="1">
        <f t="shared" si="1"/>
        <v>0.52800000000000002</v>
      </c>
      <c r="H7" s="1">
        <f t="shared" si="2"/>
        <v>0.94696969696969691</v>
      </c>
      <c r="I7" s="1">
        <f t="shared" si="3"/>
        <v>1.8939393939393938</v>
      </c>
      <c r="J7">
        <f t="shared" si="4"/>
        <v>1636.3636363636363</v>
      </c>
      <c r="K7">
        <f t="shared" si="5"/>
        <v>3272.7272727272725</v>
      </c>
    </row>
    <row r="8" spans="1:11" s="2" customFormat="1" x14ac:dyDescent="0.3">
      <c r="A8" s="2" t="s">
        <v>0</v>
      </c>
      <c r="B8" s="2" t="s">
        <v>22</v>
      </c>
      <c r="C8" s="3">
        <v>1</v>
      </c>
      <c r="D8" s="3">
        <v>2</v>
      </c>
      <c r="E8" s="3">
        <f>1/25</f>
        <v>0.04</v>
      </c>
      <c r="F8" s="3">
        <f t="shared" si="0"/>
        <v>0.13200000000000001</v>
      </c>
      <c r="G8" s="3">
        <f t="shared" si="1"/>
        <v>6.6000000000000003E-2</v>
      </c>
      <c r="H8" s="3">
        <f t="shared" si="2"/>
        <v>7.5757575757575752</v>
      </c>
      <c r="I8" s="3">
        <f t="shared" si="3"/>
        <v>15.15151515151515</v>
      </c>
      <c r="J8">
        <f t="shared" si="4"/>
        <v>13090.90909090909</v>
      </c>
      <c r="K8">
        <f t="shared" si="5"/>
        <v>26181.81818181818</v>
      </c>
    </row>
    <row r="9" spans="1:11" x14ac:dyDescent="0.3">
      <c r="A9" t="s">
        <v>0</v>
      </c>
      <c r="B9" t="s">
        <v>10</v>
      </c>
      <c r="C9" s="1">
        <v>1</v>
      </c>
      <c r="D9" s="1">
        <v>2</v>
      </c>
      <c r="E9" s="1">
        <f>3/25</f>
        <v>0.12</v>
      </c>
      <c r="F9" s="1">
        <f t="shared" si="0"/>
        <v>0.39600000000000002</v>
      </c>
      <c r="G9" s="1">
        <f t="shared" si="1"/>
        <v>0.19800000000000001</v>
      </c>
      <c r="H9" s="1">
        <f t="shared" si="2"/>
        <v>2.5252525252525251</v>
      </c>
      <c r="I9" s="1">
        <f t="shared" si="3"/>
        <v>5.0505050505050502</v>
      </c>
      <c r="J9">
        <f t="shared" si="4"/>
        <v>4363.6363636363631</v>
      </c>
      <c r="K9">
        <f t="shared" si="5"/>
        <v>8727.2727272727261</v>
      </c>
    </row>
    <row r="10" spans="1:11" x14ac:dyDescent="0.3">
      <c r="A10" t="s">
        <v>0</v>
      </c>
      <c r="B10" t="s">
        <v>42</v>
      </c>
      <c r="C10" s="1">
        <v>1</v>
      </c>
      <c r="D10" s="1">
        <v>1</v>
      </c>
      <c r="E10" s="1">
        <f>2/25</f>
        <v>0.08</v>
      </c>
      <c r="F10" s="1">
        <f t="shared" si="0"/>
        <v>0.17600000000000002</v>
      </c>
      <c r="G10" s="1">
        <f t="shared" si="1"/>
        <v>8.8000000000000009E-2</v>
      </c>
      <c r="H10" s="1">
        <f t="shared" si="2"/>
        <v>5.6818181818181817</v>
      </c>
      <c r="I10" s="1">
        <f t="shared" si="3"/>
        <v>11.363636363636363</v>
      </c>
      <c r="J10">
        <f t="shared" si="4"/>
        <v>9818.181818181818</v>
      </c>
      <c r="K10">
        <f t="shared" si="5"/>
        <v>19636.363636363636</v>
      </c>
    </row>
    <row r="11" spans="1:11" x14ac:dyDescent="0.3">
      <c r="A11" t="s">
        <v>1</v>
      </c>
      <c r="B11" t="s">
        <v>8</v>
      </c>
      <c r="C11" s="1">
        <v>2</v>
      </c>
      <c r="D11" s="1">
        <v>4</v>
      </c>
      <c r="E11" s="1">
        <f>3/23</f>
        <v>0.13043478260869565</v>
      </c>
      <c r="F11" s="1">
        <f>0.8*E11*(C11+D11)/2</f>
        <v>0.31304347826086959</v>
      </c>
      <c r="G11" s="1">
        <f t="shared" si="1"/>
        <v>0.15652173913043479</v>
      </c>
      <c r="H11" s="1">
        <f t="shared" si="2"/>
        <v>3.1944444444444442</v>
      </c>
      <c r="I11" s="1">
        <f t="shared" si="3"/>
        <v>6.3888888888888884</v>
      </c>
      <c r="J11">
        <f t="shared" si="4"/>
        <v>5520</v>
      </c>
      <c r="K11">
        <f t="shared" si="5"/>
        <v>11040</v>
      </c>
    </row>
    <row r="12" spans="1:11" x14ac:dyDescent="0.3">
      <c r="A12" t="s">
        <v>1</v>
      </c>
      <c r="B12" t="s">
        <v>15</v>
      </c>
      <c r="C12" s="1">
        <v>1</v>
      </c>
      <c r="D12" s="1">
        <v>2</v>
      </c>
      <c r="E12" s="1">
        <f>2/23</f>
        <v>8.6956521739130432E-2</v>
      </c>
      <c r="F12" s="1">
        <f t="shared" ref="F12:F21" si="6">0.8*E12*(C12+D12)/2</f>
        <v>0.10434782608695653</v>
      </c>
      <c r="G12" s="1">
        <f t="shared" si="1"/>
        <v>5.2173913043478265E-2</v>
      </c>
      <c r="H12" s="1">
        <f t="shared" si="2"/>
        <v>9.5833333333333321</v>
      </c>
      <c r="I12" s="1">
        <f t="shared" si="3"/>
        <v>19.166666666666664</v>
      </c>
      <c r="J12">
        <f t="shared" si="4"/>
        <v>16559.999999999996</v>
      </c>
      <c r="K12">
        <f t="shared" si="5"/>
        <v>33119.999999999993</v>
      </c>
    </row>
    <row r="13" spans="1:11" x14ac:dyDescent="0.3">
      <c r="A13" t="s">
        <v>1</v>
      </c>
      <c r="B13" t="s">
        <v>13</v>
      </c>
      <c r="C13" s="1">
        <v>1</v>
      </c>
      <c r="D13" s="1">
        <v>1</v>
      </c>
      <c r="E13" s="1">
        <f>3/23</f>
        <v>0.13043478260869565</v>
      </c>
      <c r="F13" s="1">
        <f t="shared" si="6"/>
        <v>0.10434782608695653</v>
      </c>
      <c r="G13" s="1">
        <f t="shared" si="1"/>
        <v>5.2173913043478265E-2</v>
      </c>
      <c r="H13" s="1">
        <f t="shared" si="2"/>
        <v>9.5833333333333321</v>
      </c>
      <c r="I13" s="1">
        <f t="shared" si="3"/>
        <v>19.166666666666664</v>
      </c>
      <c r="J13">
        <f t="shared" si="4"/>
        <v>16559.999999999996</v>
      </c>
      <c r="K13">
        <f t="shared" si="5"/>
        <v>33119.999999999993</v>
      </c>
    </row>
    <row r="14" spans="1:11" x14ac:dyDescent="0.3">
      <c r="A14" t="s">
        <v>1</v>
      </c>
      <c r="B14" t="s">
        <v>14</v>
      </c>
      <c r="C14" s="1">
        <v>1</v>
      </c>
      <c r="D14" s="1">
        <v>1</v>
      </c>
      <c r="E14" s="1">
        <f>3/23</f>
        <v>0.13043478260869565</v>
      </c>
      <c r="F14" s="1">
        <f t="shared" si="6"/>
        <v>0.10434782608695653</v>
      </c>
      <c r="G14" s="1">
        <f t="shared" si="1"/>
        <v>5.2173913043478265E-2</v>
      </c>
      <c r="H14" s="1">
        <f t="shared" si="2"/>
        <v>9.5833333333333321</v>
      </c>
      <c r="I14" s="1">
        <f t="shared" si="3"/>
        <v>19.166666666666664</v>
      </c>
      <c r="J14">
        <f t="shared" si="4"/>
        <v>16559.999999999996</v>
      </c>
      <c r="K14">
        <f t="shared" si="5"/>
        <v>33119.999999999993</v>
      </c>
    </row>
    <row r="15" spans="1:11" x14ac:dyDescent="0.3">
      <c r="A15" t="s">
        <v>1</v>
      </c>
      <c r="B15" t="s">
        <v>19</v>
      </c>
      <c r="C15" s="1">
        <v>1</v>
      </c>
      <c r="D15" s="1">
        <v>1</v>
      </c>
      <c r="E15" s="1">
        <f>2/23</f>
        <v>8.6956521739130432E-2</v>
      </c>
      <c r="F15" s="1">
        <f t="shared" si="6"/>
        <v>6.9565217391304349E-2</v>
      </c>
      <c r="G15" s="1">
        <f t="shared" si="1"/>
        <v>3.4782608695652174E-2</v>
      </c>
      <c r="H15" s="1">
        <f t="shared" si="2"/>
        <v>14.375</v>
      </c>
      <c r="I15" s="1">
        <f t="shared" si="3"/>
        <v>28.75</v>
      </c>
      <c r="J15">
        <f t="shared" si="4"/>
        <v>24840</v>
      </c>
      <c r="K15">
        <f t="shared" si="5"/>
        <v>49680</v>
      </c>
    </row>
    <row r="16" spans="1:11" x14ac:dyDescent="0.3">
      <c r="A16" t="s">
        <v>1</v>
      </c>
      <c r="B16" t="s">
        <v>21</v>
      </c>
      <c r="C16" s="1">
        <v>1</v>
      </c>
      <c r="D16" s="1">
        <v>1</v>
      </c>
      <c r="E16" s="1">
        <f>2/23</f>
        <v>8.6956521739130432E-2</v>
      </c>
      <c r="F16" s="1">
        <f t="shared" si="6"/>
        <v>6.9565217391304349E-2</v>
      </c>
      <c r="G16" s="1">
        <f t="shared" si="1"/>
        <v>3.4782608695652174E-2</v>
      </c>
      <c r="H16" s="1">
        <f t="shared" si="2"/>
        <v>14.375</v>
      </c>
      <c r="I16" s="1">
        <f t="shared" si="3"/>
        <v>28.75</v>
      </c>
      <c r="J16">
        <f t="shared" si="4"/>
        <v>24840</v>
      </c>
      <c r="K16">
        <f t="shared" si="5"/>
        <v>49680</v>
      </c>
    </row>
    <row r="17" spans="1:11" x14ac:dyDescent="0.3">
      <c r="A17" t="s">
        <v>1</v>
      </c>
      <c r="B17" t="s">
        <v>18</v>
      </c>
      <c r="C17" s="1">
        <v>1</v>
      </c>
      <c r="D17" s="1">
        <v>1</v>
      </c>
      <c r="E17" s="1">
        <f>2/23</f>
        <v>8.6956521739130432E-2</v>
      </c>
      <c r="F17" s="1">
        <f t="shared" si="6"/>
        <v>6.9565217391304349E-2</v>
      </c>
      <c r="G17" s="1">
        <f t="shared" si="1"/>
        <v>3.4782608695652174E-2</v>
      </c>
      <c r="H17" s="1">
        <f t="shared" si="2"/>
        <v>14.375</v>
      </c>
      <c r="I17" s="1">
        <f t="shared" si="3"/>
        <v>28.75</v>
      </c>
      <c r="J17">
        <f t="shared" si="4"/>
        <v>24840</v>
      </c>
      <c r="K17">
        <f t="shared" si="5"/>
        <v>49680</v>
      </c>
    </row>
    <row r="18" spans="1:11" x14ac:dyDescent="0.3">
      <c r="A18" t="s">
        <v>1</v>
      </c>
      <c r="B18" t="s">
        <v>16</v>
      </c>
      <c r="C18" s="1">
        <v>1</v>
      </c>
      <c r="D18" s="1">
        <v>1</v>
      </c>
      <c r="E18" s="1">
        <f>1/23</f>
        <v>4.3478260869565216E-2</v>
      </c>
      <c r="F18" s="1">
        <f t="shared" si="6"/>
        <v>3.4782608695652174E-2</v>
      </c>
      <c r="G18" s="1">
        <f t="shared" si="1"/>
        <v>1.7391304347826087E-2</v>
      </c>
      <c r="H18" s="1">
        <f t="shared" si="2"/>
        <v>28.75</v>
      </c>
      <c r="I18" s="1">
        <f t="shared" si="3"/>
        <v>57.5</v>
      </c>
      <c r="J18">
        <f t="shared" si="4"/>
        <v>49680</v>
      </c>
      <c r="K18">
        <f t="shared" si="5"/>
        <v>99360</v>
      </c>
    </row>
    <row r="19" spans="1:11" x14ac:dyDescent="0.3">
      <c r="A19" t="s">
        <v>1</v>
      </c>
      <c r="B19" t="s">
        <v>17</v>
      </c>
      <c r="C19" s="1">
        <v>1</v>
      </c>
      <c r="D19" s="1">
        <v>1</v>
      </c>
      <c r="E19" s="1">
        <f>1/23</f>
        <v>4.3478260869565216E-2</v>
      </c>
      <c r="F19" s="1">
        <f t="shared" si="6"/>
        <v>3.4782608695652174E-2</v>
      </c>
      <c r="G19" s="1">
        <f t="shared" si="1"/>
        <v>1.7391304347826087E-2</v>
      </c>
      <c r="H19" s="1">
        <f t="shared" si="2"/>
        <v>28.75</v>
      </c>
      <c r="I19" s="1">
        <f t="shared" si="3"/>
        <v>57.5</v>
      </c>
      <c r="J19">
        <f t="shared" si="4"/>
        <v>49680</v>
      </c>
      <c r="K19">
        <f t="shared" si="5"/>
        <v>99360</v>
      </c>
    </row>
    <row r="20" spans="1:11" x14ac:dyDescent="0.3">
      <c r="A20" t="s">
        <v>1</v>
      </c>
      <c r="B20" t="s">
        <v>20</v>
      </c>
      <c r="C20" s="1">
        <v>1</v>
      </c>
      <c r="D20" s="1">
        <v>1</v>
      </c>
      <c r="E20" s="1">
        <f>2/23</f>
        <v>8.6956521739130432E-2</v>
      </c>
      <c r="F20" s="1">
        <f t="shared" si="6"/>
        <v>6.9565217391304349E-2</v>
      </c>
      <c r="G20" s="1">
        <f t="shared" si="1"/>
        <v>3.4782608695652174E-2</v>
      </c>
      <c r="H20" s="1">
        <f t="shared" si="2"/>
        <v>14.375</v>
      </c>
      <c r="I20" s="1">
        <f t="shared" si="3"/>
        <v>28.75</v>
      </c>
      <c r="J20">
        <f t="shared" si="4"/>
        <v>24840</v>
      </c>
      <c r="K20">
        <f t="shared" si="5"/>
        <v>49680</v>
      </c>
    </row>
    <row r="21" spans="1:11" x14ac:dyDescent="0.3">
      <c r="A21" t="s">
        <v>1</v>
      </c>
      <c r="B21" t="s">
        <v>46</v>
      </c>
      <c r="C21" s="1">
        <v>1</v>
      </c>
      <c r="D21" s="1">
        <v>1</v>
      </c>
      <c r="E21" s="1">
        <f>2/23</f>
        <v>8.6956521739130432E-2</v>
      </c>
      <c r="F21" s="1">
        <f t="shared" si="6"/>
        <v>6.9565217391304349E-2</v>
      </c>
      <c r="G21" s="1">
        <f t="shared" si="1"/>
        <v>3.4782608695652174E-2</v>
      </c>
      <c r="H21" s="1">
        <f t="shared" si="2"/>
        <v>14.375</v>
      </c>
      <c r="I21" s="1">
        <f t="shared" si="3"/>
        <v>28.75</v>
      </c>
      <c r="J21">
        <f t="shared" si="4"/>
        <v>24840</v>
      </c>
      <c r="K21">
        <f t="shared" si="5"/>
        <v>49680</v>
      </c>
    </row>
    <row r="22" spans="1:11" x14ac:dyDescent="0.3">
      <c r="A22" t="s">
        <v>2</v>
      </c>
      <c r="B22" t="s">
        <v>23</v>
      </c>
      <c r="C22" s="1">
        <v>1</v>
      </c>
      <c r="D22" s="1">
        <v>1</v>
      </c>
      <c r="E22" s="1">
        <f>4/12</f>
        <v>0.33333333333333331</v>
      </c>
      <c r="F22" s="1">
        <f>0.25*E22*(C22+D22)/2</f>
        <v>8.3333333333333329E-2</v>
      </c>
      <c r="G22" s="1">
        <f t="shared" si="1"/>
        <v>4.1666666666666664E-2</v>
      </c>
      <c r="H22" s="1">
        <f t="shared" si="2"/>
        <v>12</v>
      </c>
      <c r="I22" s="1">
        <f t="shared" si="3"/>
        <v>24</v>
      </c>
      <c r="J22">
        <f t="shared" si="4"/>
        <v>20736</v>
      </c>
      <c r="K22">
        <f t="shared" si="5"/>
        <v>41472</v>
      </c>
    </row>
    <row r="23" spans="1:11" x14ac:dyDescent="0.3">
      <c r="A23" t="s">
        <v>2</v>
      </c>
      <c r="B23" t="s">
        <v>41</v>
      </c>
      <c r="C23" s="1">
        <v>1</v>
      </c>
      <c r="D23" s="1">
        <v>1</v>
      </c>
      <c r="E23" s="1">
        <f>3/12</f>
        <v>0.25</v>
      </c>
      <c r="F23" s="1">
        <f t="shared" ref="F23:F26" si="7">0.25*E23*(C23+D23)/2</f>
        <v>6.25E-2</v>
      </c>
      <c r="G23" s="1">
        <f t="shared" si="1"/>
        <v>3.125E-2</v>
      </c>
      <c r="H23" s="1">
        <f t="shared" si="2"/>
        <v>16</v>
      </c>
      <c r="I23" s="1">
        <f t="shared" si="3"/>
        <v>32</v>
      </c>
      <c r="J23">
        <f t="shared" si="4"/>
        <v>27648</v>
      </c>
      <c r="K23">
        <f t="shared" si="5"/>
        <v>55296</v>
      </c>
    </row>
    <row r="24" spans="1:11" x14ac:dyDescent="0.3">
      <c r="A24" t="s">
        <v>2</v>
      </c>
      <c r="B24" t="s">
        <v>39</v>
      </c>
      <c r="C24" s="1">
        <v>1</v>
      </c>
      <c r="D24" s="1">
        <v>1</v>
      </c>
      <c r="E24" s="1">
        <f>2/12</f>
        <v>0.16666666666666666</v>
      </c>
      <c r="F24" s="1">
        <f t="shared" si="7"/>
        <v>4.1666666666666664E-2</v>
      </c>
      <c r="G24" s="1">
        <f t="shared" si="1"/>
        <v>2.0833333333333332E-2</v>
      </c>
      <c r="H24" s="1">
        <f t="shared" si="2"/>
        <v>24</v>
      </c>
      <c r="I24" s="1">
        <f t="shared" si="3"/>
        <v>48</v>
      </c>
      <c r="J24">
        <f t="shared" si="4"/>
        <v>41472</v>
      </c>
      <c r="K24">
        <f t="shared" si="5"/>
        <v>82944</v>
      </c>
    </row>
    <row r="25" spans="1:11" x14ac:dyDescent="0.3">
      <c r="A25" t="s">
        <v>2</v>
      </c>
      <c r="B25" t="s">
        <v>24</v>
      </c>
      <c r="C25" s="1">
        <v>1</v>
      </c>
      <c r="D25" s="1">
        <v>1</v>
      </c>
      <c r="E25" s="1">
        <f>2/12</f>
        <v>0.16666666666666666</v>
      </c>
      <c r="F25" s="1">
        <f t="shared" si="7"/>
        <v>4.1666666666666664E-2</v>
      </c>
      <c r="G25" s="1">
        <f t="shared" si="1"/>
        <v>2.0833333333333332E-2</v>
      </c>
      <c r="H25" s="1">
        <f t="shared" si="2"/>
        <v>24</v>
      </c>
      <c r="I25" s="1">
        <f t="shared" si="3"/>
        <v>48</v>
      </c>
      <c r="J25">
        <f t="shared" si="4"/>
        <v>41472</v>
      </c>
      <c r="K25">
        <f t="shared" si="5"/>
        <v>82944</v>
      </c>
    </row>
    <row r="26" spans="1:11" x14ac:dyDescent="0.3">
      <c r="A26" t="s">
        <v>2</v>
      </c>
      <c r="B26" t="s">
        <v>25</v>
      </c>
      <c r="C26" s="1">
        <v>1</v>
      </c>
      <c r="D26" s="1">
        <v>1</v>
      </c>
      <c r="E26" s="1">
        <f>1/12</f>
        <v>8.3333333333333329E-2</v>
      </c>
      <c r="F26" s="1">
        <f t="shared" si="7"/>
        <v>2.0833333333333332E-2</v>
      </c>
      <c r="G26" s="1">
        <f t="shared" si="1"/>
        <v>1.0416666666666666E-2</v>
      </c>
      <c r="H26" s="1">
        <f t="shared" si="2"/>
        <v>48</v>
      </c>
      <c r="I26" s="1">
        <f t="shared" si="3"/>
        <v>96</v>
      </c>
      <c r="J26">
        <f t="shared" si="4"/>
        <v>82944</v>
      </c>
      <c r="K26">
        <f t="shared" si="5"/>
        <v>165888</v>
      </c>
    </row>
    <row r="27" spans="1:11" x14ac:dyDescent="0.3">
      <c r="A27" t="s">
        <v>3</v>
      </c>
      <c r="B27" t="s">
        <v>42</v>
      </c>
      <c r="C27" s="1">
        <v>1</v>
      </c>
      <c r="D27" s="1">
        <v>1</v>
      </c>
      <c r="E27" s="1">
        <f>1/15</f>
        <v>6.6666666666666666E-2</v>
      </c>
      <c r="F27" s="1">
        <f t="shared" si="0"/>
        <v>0.14666666666666667</v>
      </c>
      <c r="G27" s="1">
        <f>F27*0.3</f>
        <v>4.3999999999999997E-2</v>
      </c>
      <c r="H27" s="1">
        <f t="shared" si="2"/>
        <v>6.8181818181818183</v>
      </c>
      <c r="I27" s="1">
        <f t="shared" si="3"/>
        <v>22.72727272727273</v>
      </c>
      <c r="J27">
        <f t="shared" si="4"/>
        <v>11781.818181818182</v>
      </c>
      <c r="K27">
        <f t="shared" si="5"/>
        <v>39272.727272727279</v>
      </c>
    </row>
    <row r="28" spans="1:11" x14ac:dyDescent="0.3">
      <c r="A28" t="s">
        <v>3</v>
      </c>
      <c r="B28" t="s">
        <v>31</v>
      </c>
      <c r="C28" s="1">
        <v>4</v>
      </c>
      <c r="D28" s="1">
        <v>12</v>
      </c>
      <c r="E28" s="1">
        <f>3/15</f>
        <v>0.2</v>
      </c>
      <c r="F28" s="1">
        <f t="shared" si="0"/>
        <v>3.5200000000000005</v>
      </c>
      <c r="G28" s="1">
        <f t="shared" ref="G28:G46" si="8">F28*0.3</f>
        <v>1.056</v>
      </c>
      <c r="H28" s="1">
        <f t="shared" si="2"/>
        <v>0.28409090909090906</v>
      </c>
      <c r="I28" s="1">
        <f t="shared" si="3"/>
        <v>0.94696969696969691</v>
      </c>
      <c r="J28">
        <f t="shared" si="4"/>
        <v>490.90909090909088</v>
      </c>
      <c r="K28">
        <f t="shared" si="5"/>
        <v>1636.3636363636363</v>
      </c>
    </row>
    <row r="29" spans="1:11" s="2" customFormat="1" x14ac:dyDescent="0.3">
      <c r="A29" s="2" t="s">
        <v>3</v>
      </c>
      <c r="B29" s="2" t="s">
        <v>12</v>
      </c>
      <c r="C29" s="3">
        <v>8</v>
      </c>
      <c r="D29" s="3">
        <v>12</v>
      </c>
      <c r="E29" s="3">
        <f>4/15</f>
        <v>0.26666666666666666</v>
      </c>
      <c r="F29" s="3">
        <f t="shared" si="0"/>
        <v>5.8666666666666671</v>
      </c>
      <c r="G29" s="3">
        <f t="shared" si="8"/>
        <v>1.76</v>
      </c>
      <c r="H29" s="3">
        <f t="shared" si="2"/>
        <v>0.17045454545454544</v>
      </c>
      <c r="I29" s="3">
        <f t="shared" si="3"/>
        <v>0.56818181818181823</v>
      </c>
      <c r="J29">
        <f t="shared" si="4"/>
        <v>294.5454545454545</v>
      </c>
      <c r="K29">
        <f t="shared" si="5"/>
        <v>981.81818181818187</v>
      </c>
    </row>
    <row r="30" spans="1:11" x14ac:dyDescent="0.3">
      <c r="A30" t="s">
        <v>3</v>
      </c>
      <c r="B30" t="s">
        <v>8</v>
      </c>
      <c r="C30" s="1">
        <v>4</v>
      </c>
      <c r="D30" s="1">
        <v>10</v>
      </c>
      <c r="E30" s="1">
        <f>5/15</f>
        <v>0.33333333333333331</v>
      </c>
      <c r="F30" s="1">
        <f t="shared" si="0"/>
        <v>5.1333333333333337</v>
      </c>
      <c r="G30" s="1">
        <f t="shared" si="8"/>
        <v>1.54</v>
      </c>
      <c r="H30" s="1">
        <f t="shared" si="2"/>
        <v>0.19480519480519479</v>
      </c>
      <c r="I30" s="1">
        <f t="shared" si="3"/>
        <v>0.64935064935064934</v>
      </c>
      <c r="J30">
        <f t="shared" si="4"/>
        <v>336.6233766233766</v>
      </c>
      <c r="K30">
        <f t="shared" si="5"/>
        <v>1122.077922077922</v>
      </c>
    </row>
    <row r="31" spans="1:11" s="2" customFormat="1" x14ac:dyDescent="0.3">
      <c r="A31" s="2" t="s">
        <v>3</v>
      </c>
      <c r="B31" s="2" t="s">
        <v>22</v>
      </c>
      <c r="C31" s="3">
        <v>2</v>
      </c>
      <c r="D31" s="3">
        <v>3</v>
      </c>
      <c r="E31" s="3">
        <f>2/15</f>
        <v>0.13333333333333333</v>
      </c>
      <c r="F31" s="3">
        <f t="shared" si="0"/>
        <v>0.73333333333333339</v>
      </c>
      <c r="G31" s="3">
        <f t="shared" si="8"/>
        <v>0.22</v>
      </c>
      <c r="H31" s="3">
        <f t="shared" si="2"/>
        <v>1.3636363636363635</v>
      </c>
      <c r="I31" s="3">
        <f t="shared" si="3"/>
        <v>4.5454545454545459</v>
      </c>
      <c r="J31">
        <f t="shared" si="4"/>
        <v>2356.363636363636</v>
      </c>
      <c r="K31">
        <f t="shared" si="5"/>
        <v>7854.545454545455</v>
      </c>
    </row>
    <row r="32" spans="1:11" x14ac:dyDescent="0.3">
      <c r="A32" t="s">
        <v>5</v>
      </c>
      <c r="B32" t="s">
        <v>19</v>
      </c>
      <c r="C32" s="1">
        <v>1</v>
      </c>
      <c r="D32" s="1">
        <v>1</v>
      </c>
      <c r="E32" s="1">
        <f>4/29</f>
        <v>0.13793103448275862</v>
      </c>
      <c r="F32" s="1">
        <f>0.8*E32*(C32+D32)/2</f>
        <v>0.1103448275862069</v>
      </c>
      <c r="G32" s="1">
        <f t="shared" si="8"/>
        <v>3.310344827586207E-2</v>
      </c>
      <c r="H32" s="1">
        <f t="shared" si="2"/>
        <v>9.0625</v>
      </c>
      <c r="I32" s="1">
        <f t="shared" si="3"/>
        <v>30.208333333333332</v>
      </c>
      <c r="J32">
        <f t="shared" si="4"/>
        <v>15660</v>
      </c>
      <c r="K32">
        <f t="shared" si="5"/>
        <v>52200</v>
      </c>
    </row>
    <row r="33" spans="1:11" x14ac:dyDescent="0.3">
      <c r="A33" t="s">
        <v>5</v>
      </c>
      <c r="B33" t="s">
        <v>32</v>
      </c>
      <c r="C33" s="1">
        <v>1</v>
      </c>
      <c r="D33" s="1">
        <v>1</v>
      </c>
      <c r="E33" s="1">
        <f>2/29</f>
        <v>6.8965517241379309E-2</v>
      </c>
      <c r="F33" s="1">
        <f t="shared" ref="F33:F41" si="9">0.8*E33*(C33+D33)/2</f>
        <v>5.5172413793103448E-2</v>
      </c>
      <c r="G33" s="1">
        <f t="shared" si="8"/>
        <v>1.6551724137931035E-2</v>
      </c>
      <c r="H33" s="1">
        <f t="shared" si="2"/>
        <v>18.125</v>
      </c>
      <c r="I33" s="1">
        <f t="shared" si="3"/>
        <v>60.416666666666664</v>
      </c>
      <c r="J33">
        <f t="shared" si="4"/>
        <v>31320</v>
      </c>
      <c r="K33">
        <f t="shared" si="5"/>
        <v>104400</v>
      </c>
    </row>
    <row r="34" spans="1:11" x14ac:dyDescent="0.3">
      <c r="A34" t="s">
        <v>5</v>
      </c>
      <c r="B34" t="s">
        <v>33</v>
      </c>
      <c r="C34" s="1">
        <v>1</v>
      </c>
      <c r="D34" s="1">
        <v>1</v>
      </c>
      <c r="E34" s="1">
        <f>2/29</f>
        <v>6.8965517241379309E-2</v>
      </c>
      <c r="F34" s="1">
        <f t="shared" si="9"/>
        <v>5.5172413793103448E-2</v>
      </c>
      <c r="G34" s="1">
        <f t="shared" si="8"/>
        <v>1.6551724137931035E-2</v>
      </c>
      <c r="H34" s="1">
        <f t="shared" si="2"/>
        <v>18.125</v>
      </c>
      <c r="I34" s="1">
        <f t="shared" si="3"/>
        <v>60.416666666666664</v>
      </c>
      <c r="J34">
        <f t="shared" si="4"/>
        <v>31320</v>
      </c>
      <c r="K34">
        <f t="shared" si="5"/>
        <v>104400</v>
      </c>
    </row>
    <row r="35" spans="1:11" x14ac:dyDescent="0.3">
      <c r="A35" t="s">
        <v>5</v>
      </c>
      <c r="B35" t="s">
        <v>34</v>
      </c>
      <c r="C35" s="1">
        <v>1</v>
      </c>
      <c r="D35" s="1">
        <v>1</v>
      </c>
      <c r="E35" s="1">
        <f>2/29</f>
        <v>6.8965517241379309E-2</v>
      </c>
      <c r="F35" s="1">
        <f t="shared" si="9"/>
        <v>5.5172413793103448E-2</v>
      </c>
      <c r="G35" s="1">
        <f t="shared" si="8"/>
        <v>1.6551724137931035E-2</v>
      </c>
      <c r="H35" s="1">
        <f t="shared" si="2"/>
        <v>18.125</v>
      </c>
      <c r="I35" s="1">
        <f t="shared" si="3"/>
        <v>60.416666666666664</v>
      </c>
      <c r="J35">
        <f t="shared" si="4"/>
        <v>31320</v>
      </c>
      <c r="K35">
        <f t="shared" si="5"/>
        <v>104400</v>
      </c>
    </row>
    <row r="36" spans="1:11" x14ac:dyDescent="0.3">
      <c r="A36" t="s">
        <v>5</v>
      </c>
      <c r="B36" t="s">
        <v>26</v>
      </c>
      <c r="C36" s="1">
        <v>1</v>
      </c>
      <c r="D36" s="1">
        <v>1</v>
      </c>
      <c r="E36" s="1">
        <f>3/29</f>
        <v>0.10344827586206896</v>
      </c>
      <c r="F36" s="1">
        <f t="shared" si="9"/>
        <v>8.2758620689655171E-2</v>
      </c>
      <c r="G36" s="1">
        <f t="shared" si="8"/>
        <v>2.4827586206896551E-2</v>
      </c>
      <c r="H36" s="1">
        <f t="shared" si="2"/>
        <v>12.083333333333334</v>
      </c>
      <c r="I36" s="1">
        <f t="shared" si="3"/>
        <v>40.277777777777779</v>
      </c>
      <c r="J36">
        <f t="shared" si="4"/>
        <v>20880</v>
      </c>
      <c r="K36">
        <f t="shared" si="5"/>
        <v>69600</v>
      </c>
    </row>
    <row r="37" spans="1:11" x14ac:dyDescent="0.3">
      <c r="A37" t="s">
        <v>5</v>
      </c>
      <c r="B37" t="s">
        <v>27</v>
      </c>
      <c r="C37" s="1">
        <v>1</v>
      </c>
      <c r="D37" s="1">
        <v>1</v>
      </c>
      <c r="E37" s="1">
        <f>3/29</f>
        <v>0.10344827586206896</v>
      </c>
      <c r="F37" s="1">
        <f t="shared" si="9"/>
        <v>8.2758620689655171E-2</v>
      </c>
      <c r="G37" s="1">
        <f t="shared" si="8"/>
        <v>2.4827586206896551E-2</v>
      </c>
      <c r="H37" s="1">
        <f t="shared" si="2"/>
        <v>12.083333333333334</v>
      </c>
      <c r="I37" s="1">
        <f t="shared" si="3"/>
        <v>40.277777777777779</v>
      </c>
      <c r="J37">
        <f t="shared" si="4"/>
        <v>20880</v>
      </c>
      <c r="K37">
        <f t="shared" si="5"/>
        <v>69600</v>
      </c>
    </row>
    <row r="38" spans="1:11" x14ac:dyDescent="0.3">
      <c r="A38" t="s">
        <v>5</v>
      </c>
      <c r="B38" t="s">
        <v>23</v>
      </c>
      <c r="C38" s="1">
        <v>1</v>
      </c>
      <c r="D38" s="1">
        <v>1</v>
      </c>
      <c r="E38" s="1">
        <f>3/29</f>
        <v>0.10344827586206896</v>
      </c>
      <c r="F38" s="1">
        <f t="shared" si="9"/>
        <v>8.2758620689655171E-2</v>
      </c>
      <c r="G38" s="1">
        <f t="shared" si="8"/>
        <v>2.4827586206896551E-2</v>
      </c>
      <c r="H38" s="1">
        <f t="shared" si="2"/>
        <v>12.083333333333334</v>
      </c>
      <c r="I38" s="1">
        <f t="shared" si="3"/>
        <v>40.277777777777779</v>
      </c>
      <c r="J38">
        <f t="shared" si="4"/>
        <v>20880</v>
      </c>
      <c r="K38">
        <f t="shared" si="5"/>
        <v>69600</v>
      </c>
    </row>
    <row r="39" spans="1:11" x14ac:dyDescent="0.3">
      <c r="A39" t="s">
        <v>5</v>
      </c>
      <c r="B39" t="s">
        <v>28</v>
      </c>
      <c r="C39" s="1">
        <v>1</v>
      </c>
      <c r="D39" s="1">
        <v>1</v>
      </c>
      <c r="E39" s="1">
        <f>5/29</f>
        <v>0.17241379310344829</v>
      </c>
      <c r="F39" s="1">
        <f t="shared" si="9"/>
        <v>0.13793103448275865</v>
      </c>
      <c r="G39" s="1">
        <f t="shared" si="8"/>
        <v>4.1379310344827593E-2</v>
      </c>
      <c r="H39" s="1">
        <f t="shared" si="2"/>
        <v>7.2499999999999982</v>
      </c>
      <c r="I39" s="1">
        <f t="shared" si="3"/>
        <v>24.166666666666664</v>
      </c>
      <c r="J39">
        <f t="shared" si="4"/>
        <v>12527.999999999996</v>
      </c>
      <c r="K39">
        <f t="shared" si="5"/>
        <v>41759.999999999993</v>
      </c>
    </row>
    <row r="40" spans="1:11" x14ac:dyDescent="0.3">
      <c r="A40" t="s">
        <v>5</v>
      </c>
      <c r="B40" t="s">
        <v>29</v>
      </c>
      <c r="C40" s="1">
        <v>1</v>
      </c>
      <c r="D40" s="1">
        <v>1</v>
      </c>
      <c r="E40" s="1">
        <f>4/29</f>
        <v>0.13793103448275862</v>
      </c>
      <c r="F40" s="1">
        <f t="shared" si="9"/>
        <v>0.1103448275862069</v>
      </c>
      <c r="G40" s="1">
        <f t="shared" si="8"/>
        <v>3.310344827586207E-2</v>
      </c>
      <c r="H40" s="1">
        <f t="shared" si="2"/>
        <v>9.0625</v>
      </c>
      <c r="I40" s="1">
        <f t="shared" si="3"/>
        <v>30.208333333333332</v>
      </c>
      <c r="J40">
        <f t="shared" si="4"/>
        <v>15660</v>
      </c>
      <c r="K40">
        <f t="shared" si="5"/>
        <v>52200</v>
      </c>
    </row>
    <row r="41" spans="1:11" s="2" customFormat="1" x14ac:dyDescent="0.3">
      <c r="A41" s="2" t="s">
        <v>5</v>
      </c>
      <c r="B41" s="2" t="s">
        <v>30</v>
      </c>
      <c r="C41" s="3">
        <v>1</v>
      </c>
      <c r="D41" s="3">
        <v>1</v>
      </c>
      <c r="E41" s="3">
        <f>1/29</f>
        <v>3.4482758620689655E-2</v>
      </c>
      <c r="F41" s="3">
        <f t="shared" si="9"/>
        <v>2.7586206896551724E-2</v>
      </c>
      <c r="G41" s="3">
        <f t="shared" si="8"/>
        <v>8.2758620689655175E-3</v>
      </c>
      <c r="H41" s="3">
        <f t="shared" si="2"/>
        <v>36.25</v>
      </c>
      <c r="I41" s="3">
        <f t="shared" si="3"/>
        <v>120.83333333333333</v>
      </c>
      <c r="J41">
        <f t="shared" si="4"/>
        <v>62640</v>
      </c>
      <c r="K41">
        <f t="shared" si="5"/>
        <v>208800</v>
      </c>
    </row>
    <row r="42" spans="1:11" s="2" customFormat="1" x14ac:dyDescent="0.3">
      <c r="A42" s="2" t="s">
        <v>4</v>
      </c>
      <c r="B42" s="2" t="s">
        <v>35</v>
      </c>
      <c r="C42" s="3">
        <v>1</v>
      </c>
      <c r="D42" s="3">
        <v>1</v>
      </c>
      <c r="E42" s="3">
        <f>3/10</f>
        <v>0.3</v>
      </c>
      <c r="F42" s="3">
        <f>0.75*E42*(C42+D42)/2</f>
        <v>0.22499999999999998</v>
      </c>
      <c r="G42" s="3">
        <f t="shared" si="8"/>
        <v>6.7499999999999991E-2</v>
      </c>
      <c r="H42" s="3">
        <f t="shared" si="2"/>
        <v>4.4444444444444446</v>
      </c>
      <c r="I42" s="3">
        <f t="shared" si="3"/>
        <v>14.814814814814817</v>
      </c>
      <c r="J42">
        <f t="shared" si="4"/>
        <v>7680</v>
      </c>
      <c r="K42">
        <f t="shared" si="5"/>
        <v>25600.000000000004</v>
      </c>
    </row>
    <row r="43" spans="1:11" x14ac:dyDescent="0.3">
      <c r="A43" t="s">
        <v>4</v>
      </c>
      <c r="B43" t="s">
        <v>36</v>
      </c>
      <c r="C43" s="1">
        <v>1</v>
      </c>
      <c r="D43" s="1">
        <v>1</v>
      </c>
      <c r="E43" s="1">
        <f>3/10</f>
        <v>0.3</v>
      </c>
      <c r="F43" s="1">
        <f t="shared" ref="F43:F46" si="10">0.75*E43*(C43+D43)/2</f>
        <v>0.22499999999999998</v>
      </c>
      <c r="G43" s="1">
        <f t="shared" si="8"/>
        <v>6.7499999999999991E-2</v>
      </c>
      <c r="H43" s="1">
        <f t="shared" si="2"/>
        <v>4.4444444444444446</v>
      </c>
      <c r="I43" s="1">
        <f t="shared" si="3"/>
        <v>14.814814814814817</v>
      </c>
      <c r="J43">
        <f t="shared" si="4"/>
        <v>7680</v>
      </c>
      <c r="K43">
        <f t="shared" si="5"/>
        <v>25600.000000000004</v>
      </c>
    </row>
    <row r="44" spans="1:11" x14ac:dyDescent="0.3">
      <c r="A44" t="s">
        <v>4</v>
      </c>
      <c r="B44" t="s">
        <v>37</v>
      </c>
      <c r="C44" s="1">
        <v>1</v>
      </c>
      <c r="D44" s="1">
        <v>1</v>
      </c>
      <c r="E44" s="1">
        <f>2/10</f>
        <v>0.2</v>
      </c>
      <c r="F44" s="1">
        <f t="shared" si="10"/>
        <v>0.15000000000000002</v>
      </c>
      <c r="G44" s="1">
        <f t="shared" si="8"/>
        <v>4.5000000000000005E-2</v>
      </c>
      <c r="H44" s="1">
        <f t="shared" si="2"/>
        <v>6.6666666666666661</v>
      </c>
      <c r="I44" s="1">
        <f t="shared" si="3"/>
        <v>22.222222222222218</v>
      </c>
      <c r="J44">
        <f t="shared" si="4"/>
        <v>11519.999999999998</v>
      </c>
      <c r="K44">
        <f t="shared" si="5"/>
        <v>38399.999999999993</v>
      </c>
    </row>
    <row r="45" spans="1:11" x14ac:dyDescent="0.3">
      <c r="A45" t="s">
        <v>4</v>
      </c>
      <c r="B45" t="s">
        <v>38</v>
      </c>
      <c r="C45" s="1">
        <v>1</v>
      </c>
      <c r="D45" s="1">
        <v>1</v>
      </c>
      <c r="E45" s="1">
        <f>1/10</f>
        <v>0.1</v>
      </c>
      <c r="F45" s="1">
        <f t="shared" si="10"/>
        <v>7.5000000000000011E-2</v>
      </c>
      <c r="G45" s="1">
        <f t="shared" si="8"/>
        <v>2.2500000000000003E-2</v>
      </c>
      <c r="H45" s="1">
        <f t="shared" si="2"/>
        <v>13.333333333333332</v>
      </c>
      <c r="I45" s="1">
        <f t="shared" si="3"/>
        <v>44.444444444444436</v>
      </c>
      <c r="J45">
        <f t="shared" si="4"/>
        <v>23039.999999999996</v>
      </c>
      <c r="K45">
        <f t="shared" si="5"/>
        <v>76799.999999999985</v>
      </c>
    </row>
    <row r="46" spans="1:11" s="2" customFormat="1" x14ac:dyDescent="0.3">
      <c r="A46" s="2" t="s">
        <v>4</v>
      </c>
      <c r="B46" s="2" t="s">
        <v>40</v>
      </c>
      <c r="C46" s="3">
        <v>1</v>
      </c>
      <c r="D46" s="3">
        <v>1</v>
      </c>
      <c r="E46" s="3">
        <f>1/10</f>
        <v>0.1</v>
      </c>
      <c r="F46" s="3">
        <f t="shared" si="10"/>
        <v>7.5000000000000011E-2</v>
      </c>
      <c r="G46" s="3">
        <f t="shared" si="8"/>
        <v>2.2500000000000003E-2</v>
      </c>
      <c r="H46" s="3">
        <f t="shared" si="2"/>
        <v>13.333333333333332</v>
      </c>
      <c r="I46" s="3">
        <f t="shared" si="3"/>
        <v>44.444444444444436</v>
      </c>
      <c r="J46">
        <f t="shared" si="4"/>
        <v>23039.999999999996</v>
      </c>
      <c r="K46">
        <f t="shared" si="5"/>
        <v>76799.999999999985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试炼</vt:lpstr>
      <vt:lpstr>宝库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acacia</dc:creator>
  <cp:lastModifiedBy>acacia acacia</cp:lastModifiedBy>
  <dcterms:created xsi:type="dcterms:W3CDTF">2015-06-05T18:19:34Z</dcterms:created>
  <dcterms:modified xsi:type="dcterms:W3CDTF">2025-04-05T15:04:30Z</dcterms:modified>
</cp:coreProperties>
</file>