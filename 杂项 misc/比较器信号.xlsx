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杂项 misc\"/>
    </mc:Choice>
  </mc:AlternateContent>
  <xr:revisionPtr revIDLastSave="0" documentId="13_ncr:1_{7B1854A1-C62C-44C3-87AB-F84E7BF46C6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容器" sheetId="1" r:id="rId1"/>
    <sheet name="超限堆叠" sheetId="2" r:id="rId2"/>
    <sheet name="特殊" sheetId="3" r:id="rId3"/>
    <sheet name="唱片" sheetId="4" r:id="rId4"/>
    <sheet name="幽匿感测体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6" i="2" l="1"/>
  <c r="F26" i="2"/>
  <c r="E26" i="2"/>
  <c r="D26" i="2"/>
  <c r="C26" i="2"/>
  <c r="B26" i="2"/>
  <c r="G25" i="2"/>
  <c r="F25" i="2"/>
  <c r="E25" i="2"/>
  <c r="D25" i="2"/>
  <c r="C25" i="2"/>
  <c r="B25" i="2"/>
  <c r="G24" i="2"/>
  <c r="F24" i="2"/>
  <c r="E24" i="2"/>
  <c r="D24" i="2"/>
  <c r="C24" i="2"/>
  <c r="B24" i="2"/>
  <c r="G23" i="2"/>
  <c r="F23" i="2"/>
  <c r="E23" i="2"/>
  <c r="D23" i="2"/>
  <c r="C23" i="2"/>
  <c r="B23" i="2"/>
  <c r="G22" i="2"/>
  <c r="F22" i="2"/>
  <c r="E22" i="2"/>
  <c r="D22" i="2"/>
  <c r="C22" i="2"/>
  <c r="B22" i="2"/>
  <c r="G21" i="2"/>
  <c r="F21" i="2"/>
  <c r="E21" i="2"/>
  <c r="D21" i="2"/>
  <c r="C21" i="2"/>
  <c r="B21" i="2"/>
  <c r="G20" i="2"/>
  <c r="F20" i="2"/>
  <c r="E20" i="2"/>
  <c r="D20" i="2"/>
  <c r="C20" i="2"/>
  <c r="B20" i="2"/>
  <c r="G19" i="2"/>
  <c r="F19" i="2"/>
  <c r="E19" i="2"/>
  <c r="D19" i="2"/>
  <c r="C19" i="2"/>
  <c r="B19" i="2"/>
  <c r="G18" i="2"/>
  <c r="F18" i="2"/>
  <c r="E18" i="2"/>
  <c r="D18" i="2"/>
  <c r="C18" i="2"/>
  <c r="B18" i="2"/>
  <c r="G17" i="2"/>
  <c r="F17" i="2"/>
  <c r="E17" i="2"/>
  <c r="D17" i="2"/>
  <c r="C17" i="2"/>
  <c r="B17" i="2"/>
  <c r="G16" i="2"/>
  <c r="F16" i="2"/>
  <c r="E16" i="2"/>
  <c r="D16" i="2"/>
  <c r="C16" i="2"/>
  <c r="B16" i="2"/>
  <c r="G15" i="2"/>
  <c r="F15" i="2"/>
  <c r="E15" i="2"/>
  <c r="D15" i="2"/>
  <c r="C15" i="2"/>
  <c r="B15" i="2"/>
  <c r="G14" i="2"/>
  <c r="F14" i="2"/>
  <c r="E14" i="2"/>
  <c r="D14" i="2"/>
  <c r="C14" i="2"/>
  <c r="B14" i="2"/>
  <c r="G13" i="2"/>
  <c r="F13" i="2"/>
  <c r="E13" i="2"/>
  <c r="D13" i="2"/>
  <c r="C13" i="2"/>
  <c r="B13" i="2"/>
  <c r="G12" i="2"/>
  <c r="F12" i="2"/>
  <c r="E12" i="2"/>
  <c r="D12" i="2"/>
  <c r="C12" i="2"/>
  <c r="B12" i="2"/>
  <c r="G11" i="2"/>
  <c r="F11" i="2"/>
  <c r="E11" i="2"/>
  <c r="D11" i="2"/>
  <c r="C11" i="2"/>
  <c r="B11" i="2"/>
  <c r="G10" i="2"/>
  <c r="F10" i="2"/>
  <c r="E10" i="2"/>
  <c r="D10" i="2"/>
  <c r="C10" i="2"/>
  <c r="B10" i="2"/>
  <c r="G6" i="2"/>
  <c r="F6" i="2"/>
  <c r="E6" i="2"/>
  <c r="D6" i="2"/>
  <c r="C6" i="2"/>
  <c r="B6" i="2"/>
  <c r="O23" i="1"/>
  <c r="N23" i="1"/>
  <c r="M23" i="1"/>
  <c r="L23" i="1"/>
  <c r="K23" i="1"/>
  <c r="J23" i="1"/>
  <c r="G23" i="1"/>
  <c r="F23" i="1"/>
  <c r="E23" i="1"/>
  <c r="D23" i="1"/>
  <c r="C23" i="1"/>
  <c r="B23" i="1"/>
  <c r="O22" i="1"/>
  <c r="N22" i="1"/>
  <c r="M22" i="1"/>
  <c r="L22" i="1"/>
  <c r="K22" i="1"/>
  <c r="J22" i="1"/>
  <c r="G22" i="1"/>
  <c r="F22" i="1"/>
  <c r="E22" i="1"/>
  <c r="D22" i="1"/>
  <c r="C22" i="1"/>
  <c r="B22" i="1"/>
  <c r="O21" i="1"/>
  <c r="N21" i="1"/>
  <c r="M21" i="1"/>
  <c r="L21" i="1"/>
  <c r="K21" i="1"/>
  <c r="J21" i="1"/>
  <c r="G21" i="1"/>
  <c r="F21" i="1"/>
  <c r="E21" i="1"/>
  <c r="D21" i="1"/>
  <c r="C21" i="1"/>
  <c r="B21" i="1"/>
  <c r="O20" i="1"/>
  <c r="N20" i="1"/>
  <c r="M20" i="1"/>
  <c r="L20" i="1"/>
  <c r="K20" i="1"/>
  <c r="J20" i="1"/>
  <c r="G20" i="1"/>
  <c r="F20" i="1"/>
  <c r="E20" i="1"/>
  <c r="D20" i="1"/>
  <c r="C20" i="1"/>
  <c r="B20" i="1"/>
  <c r="O19" i="1"/>
  <c r="N19" i="1"/>
  <c r="M19" i="1"/>
  <c r="L19" i="1"/>
  <c r="K19" i="1"/>
  <c r="J19" i="1"/>
  <c r="G19" i="1"/>
  <c r="F19" i="1"/>
  <c r="E19" i="1"/>
  <c r="D19" i="1"/>
  <c r="C19" i="1"/>
  <c r="B19" i="1"/>
  <c r="O18" i="1"/>
  <c r="N18" i="1"/>
  <c r="M18" i="1"/>
  <c r="L18" i="1"/>
  <c r="K18" i="1"/>
  <c r="J18" i="1"/>
  <c r="G18" i="1"/>
  <c r="F18" i="1"/>
  <c r="E18" i="1"/>
  <c r="D18" i="1"/>
  <c r="C18" i="1"/>
  <c r="B18" i="1"/>
  <c r="O17" i="1"/>
  <c r="N17" i="1"/>
  <c r="M17" i="1"/>
  <c r="L17" i="1"/>
  <c r="K17" i="1"/>
  <c r="J17" i="1"/>
  <c r="G17" i="1"/>
  <c r="F17" i="1"/>
  <c r="E17" i="1"/>
  <c r="D17" i="1"/>
  <c r="C17" i="1"/>
  <c r="B17" i="1"/>
  <c r="O16" i="1"/>
  <c r="N16" i="1"/>
  <c r="M16" i="1"/>
  <c r="L16" i="1"/>
  <c r="K16" i="1"/>
  <c r="J16" i="1"/>
  <c r="G16" i="1"/>
  <c r="F16" i="1"/>
  <c r="E16" i="1"/>
  <c r="D16" i="1"/>
  <c r="C16" i="1"/>
  <c r="B16" i="1"/>
  <c r="O15" i="1"/>
  <c r="N15" i="1"/>
  <c r="M15" i="1"/>
  <c r="L15" i="1"/>
  <c r="K15" i="1"/>
  <c r="J15" i="1"/>
  <c r="G15" i="1"/>
  <c r="F15" i="1"/>
  <c r="E15" i="1"/>
  <c r="D15" i="1"/>
  <c r="C15" i="1"/>
  <c r="B15" i="1"/>
  <c r="O14" i="1"/>
  <c r="N14" i="1"/>
  <c r="M14" i="1"/>
  <c r="L14" i="1"/>
  <c r="K14" i="1"/>
  <c r="J14" i="1"/>
  <c r="G14" i="1"/>
  <c r="F14" i="1"/>
  <c r="E14" i="1"/>
  <c r="D14" i="1"/>
  <c r="C14" i="1"/>
  <c r="B14" i="1"/>
  <c r="O13" i="1"/>
  <c r="N13" i="1"/>
  <c r="M13" i="1"/>
  <c r="L13" i="1"/>
  <c r="K13" i="1"/>
  <c r="J13" i="1"/>
  <c r="G13" i="1"/>
  <c r="F13" i="1"/>
  <c r="E13" i="1"/>
  <c r="D13" i="1"/>
  <c r="C13" i="1"/>
  <c r="B13" i="1"/>
  <c r="O12" i="1"/>
  <c r="N12" i="1"/>
  <c r="M12" i="1"/>
  <c r="L12" i="1"/>
  <c r="K12" i="1"/>
  <c r="J12" i="1"/>
  <c r="G12" i="1"/>
  <c r="F12" i="1"/>
  <c r="E12" i="1"/>
  <c r="D12" i="1"/>
  <c r="C12" i="1"/>
  <c r="B12" i="1"/>
  <c r="O11" i="1"/>
  <c r="N11" i="1"/>
  <c r="M11" i="1"/>
  <c r="L11" i="1"/>
  <c r="K11" i="1"/>
  <c r="J11" i="1"/>
  <c r="G11" i="1"/>
  <c r="F11" i="1"/>
  <c r="E11" i="1"/>
  <c r="D11" i="1"/>
  <c r="C11" i="1"/>
  <c r="B11" i="1"/>
  <c r="O10" i="1"/>
  <c r="N10" i="1"/>
  <c r="M10" i="1"/>
  <c r="L10" i="1"/>
  <c r="K10" i="1"/>
  <c r="J10" i="1"/>
  <c r="G10" i="1"/>
  <c r="F10" i="1"/>
  <c r="E10" i="1"/>
  <c r="D10" i="1"/>
  <c r="C10" i="1"/>
  <c r="B10" i="1"/>
  <c r="O6" i="1"/>
  <c r="N6" i="1"/>
  <c r="M6" i="1"/>
  <c r="L6" i="1"/>
  <c r="K6" i="1"/>
  <c r="J6" i="1"/>
  <c r="G6" i="1"/>
  <c r="F6" i="1"/>
  <c r="E6" i="1"/>
  <c r="D6" i="1"/>
  <c r="C6" i="1"/>
  <c r="B6" i="1"/>
</calcChain>
</file>

<file path=xl/sharedStrings.xml><?xml version="1.0" encoding="utf-8"?>
<sst xmlns="http://schemas.openxmlformats.org/spreadsheetml/2006/main" count="271" uniqueCount="228">
  <si>
    <t>容器</t>
  </si>
  <si>
    <t>陶罐</t>
  </si>
  <si>
    <t>熔炉</t>
  </si>
  <si>
    <t>漏斗</t>
  </si>
  <si>
    <t>投掷器</t>
  </si>
  <si>
    <t>箱子</t>
  </si>
  <si>
    <t>大箱子</t>
  </si>
  <si>
    <t>酿造台</t>
  </si>
  <si>
    <t>发射器</t>
  </si>
  <si>
    <t>木桶</t>
  </si>
  <si>
    <t>大木桶</t>
  </si>
  <si>
    <t>盒子</t>
  </si>
  <si>
    <t>0个</t>
  </si>
  <si>
    <t>1个</t>
  </si>
  <si>
    <t>重生锚</t>
  </si>
  <si>
    <t>蛋糕</t>
  </si>
  <si>
    <t>堆肥桶</t>
  </si>
  <si>
    <t>岩浆锅</t>
  </si>
  <si>
    <t>蜂巢和蜂箱</t>
  </si>
  <si>
    <t>物品展示框</t>
  </si>
  <si>
    <t>末地传送门框架</t>
  </si>
  <si>
    <t>铜灯</t>
  </si>
  <si>
    <t>合成器</t>
  </si>
  <si>
    <t>雕纹书架</t>
  </si>
  <si>
    <t>嘎吱之心</t>
  </si>
  <si>
    <t>空</t>
  </si>
  <si>
    <t>无末影之眼</t>
  </si>
  <si>
    <t>熄灭</t>
  </si>
  <si>
    <t>最后一次交互槽位(输出1~6)
(last_interaction_book_slot)
新放置的输出0</t>
  </si>
  <si>
    <t xml:space="preserve">15-floor(15*min(d,32)/32)
d：嘎枝怪距离其嘎枝之心底面中心的直线距离
floor()：向下取整
</t>
  </si>
  <si>
    <t>1层堆肥</t>
  </si>
  <si>
    <t>1层</t>
  </si>
  <si>
    <t>1等级</t>
  </si>
  <si>
    <t>未旋转</t>
  </si>
  <si>
    <t>吃6片</t>
  </si>
  <si>
    <t>2层堆肥</t>
  </si>
  <si>
    <t>2层</t>
  </si>
  <si>
    <t>2等级</t>
  </si>
  <si>
    <t>旋转1次</t>
  </si>
  <si>
    <t>1级</t>
  </si>
  <si>
    <t>3层堆肥</t>
  </si>
  <si>
    <t>3层(满)</t>
  </si>
  <si>
    <t>满</t>
  </si>
  <si>
    <t>3等级</t>
  </si>
  <si>
    <t>旋转2次</t>
  </si>
  <si>
    <t>吃5片</t>
  </si>
  <si>
    <t>4层堆肥</t>
  </si>
  <si>
    <t>4等级</t>
  </si>
  <si>
    <t>旋转3次</t>
  </si>
  <si>
    <t>5层堆肥</t>
  </si>
  <si>
    <t>5等级(满)</t>
  </si>
  <si>
    <t>旋转4次</t>
  </si>
  <si>
    <t>吃4片</t>
  </si>
  <si>
    <t>6层堆肥</t>
  </si>
  <si>
    <t>旋转5次</t>
  </si>
  <si>
    <t>2级</t>
  </si>
  <si>
    <t>7层堆肥(过渡)</t>
  </si>
  <si>
    <t>旋转6次</t>
  </si>
  <si>
    <t>吃3片</t>
  </si>
  <si>
    <t>8层堆肥(满)</t>
  </si>
  <si>
    <t>旋转7次</t>
  </si>
  <si>
    <t>吃2片</t>
  </si>
  <si>
    <t>3级</t>
  </si>
  <si>
    <t>吃1片</t>
  </si>
  <si>
    <t>完整</t>
  </si>
  <si>
    <t>4级(满)</t>
  </si>
  <si>
    <t>有末影之眼</t>
  </si>
  <si>
    <t>亮起</t>
  </si>
  <si>
    <t>(无唱片)</t>
  </si>
  <si>
    <t>cat</t>
  </si>
  <si>
    <t>blocks</t>
  </si>
  <si>
    <t>chirp</t>
  </si>
  <si>
    <t>far</t>
  </si>
  <si>
    <t>mall</t>
  </si>
  <si>
    <t>melohi</t>
  </si>
  <si>
    <t>stal</t>
  </si>
  <si>
    <t>strad</t>
  </si>
  <si>
    <t>Lava Chicken</t>
  </si>
  <si>
    <t>ward</t>
  </si>
  <si>
    <t>Tears</t>
  </si>
  <si>
    <t>Creator(八音盒)</t>
  </si>
  <si>
    <t>wait</t>
  </si>
  <si>
    <t>Creator</t>
  </si>
  <si>
    <t>pigstep</t>
  </si>
  <si>
    <t>Precipice</t>
  </si>
  <si>
    <t>otherside</t>
  </si>
  <si>
    <t>Relic</t>
  </si>
  <si>
    <t>振动种类</t>
  </si>
  <si>
    <t>游戏事件</t>
  </si>
  <si>
    <t>描述</t>
  </si>
  <si>
    <t>(无)</t>
  </si>
  <si>
    <t>脚步</t>
  </si>
  <si>
    <t>step</t>
  </si>
  <si>
    <t>实体（不包括监守者）行走[注 1][注 2]</t>
  </si>
  <si>
    <t>游泳</t>
  </si>
  <si>
    <t>swim</t>
  </si>
  <si>
    <t>实体游泳</t>
  </si>
  <si>
    <t>拍打</t>
  </si>
  <si>
    <t>flap</t>
  </si>
  <si>
    <t>飞行的实体（例如蝙蝠）拍打翅膀</t>
  </si>
  <si>
    <t>弹射物击中</t>
  </si>
  <si>
    <t>projectile_land</t>
  </si>
  <si>
    <t>弹射物击中某物</t>
  </si>
  <si>
    <t>落地</t>
  </si>
  <si>
    <t>hit_ground</t>
  </si>
  <si>
    <t>实体从高处落地[注 1][注 3]</t>
  </si>
  <si>
    <t>溅起水花</t>
  </si>
  <si>
    <t>splash</t>
  </si>
  <si>
    <t>实体浮出水面[注 4]；船受到气泡柱的冲击</t>
  </si>
  <si>
    <t>物品互动结束</t>
  </si>
  <si>
    <t>item_interact_finish</t>
  </si>
  <si>
    <t>玩家收回钓鱼竿、使用骨粉；玩家[仅BE]生物[仅JE]结束使用各种物品，例如放下盾牌、关闭望远镜</t>
  </si>
  <si>
    <t>弹射物发射</t>
  </si>
  <si>
    <t>projectile_shoot</t>
  </si>
  <si>
    <t>射出弹射物[注 1]</t>
  </si>
  <si>
    <t>奏响乐器</t>
  </si>
  <si>
    <t>instrument_play</t>
  </si>
  <si>
    <t>吹奏山羊角[仅JE]</t>
  </si>
  <si>
    <t>实体行动</t>
  </si>
  <si>
    <t>entity_action</t>
  </si>
  <si>
    <t>劫掠兽咆哮；狼甩掉身上的水；嗅探兽刨挖种子；海龟挖开沙子；骆驼坐下、起身与冲刺；嘎枝切换活动状态；玩家攻击与嘎枝之心绑定的嘎枝；将两个实体拴在一起</t>
  </si>
  <si>
    <t>鞘翅滑翔</t>
  </si>
  <si>
    <t>elytra_glide</t>
  </si>
  <si>
    <t>用鞘翅滑翔</t>
  </si>
  <si>
    <t>卸下装备</t>
  </si>
  <si>
    <t>unequip</t>
  </si>
  <si>
    <t>卸下生物穿戴的物品；村民交易展示、更换为非装备性[仅JE]物品、收回物品；女巫或流浪商人饮用药水；流浪商人饮用奶</t>
  </si>
  <si>
    <t>离开坐骑</t>
  </si>
  <si>
    <t>entity_dismount</t>
  </si>
  <si>
    <t>乘客离开坐骑</t>
  </si>
  <si>
    <t>装备</t>
  </si>
  <si>
    <t>equip</t>
  </si>
  <si>
    <t>玩家穿戴物品；为盔甲架装备物品；村民交易展示、更换为装备物品[仅JE]</t>
  </si>
  <si>
    <t>骑上坐骑</t>
  </si>
  <si>
    <t>entity_mount</t>
  </si>
  <si>
    <t>乘客骑上坐骑</t>
  </si>
  <si>
    <t>实体互动</t>
  </si>
  <si>
    <t>entity_interact</t>
  </si>
  <si>
    <t>对受虚弱效果影响的僵尸村民使用金苹果；通过喂食来治愈已驯服的狼；通过使用铁锭来治愈铁傀儡；给予熊猫食物；成功喂食其他绝大多数生物[仅JE]；给生物命名；使用水桶收集鱼、美西螈或蝌蚪；与各种实体互动</t>
  </si>
  <si>
    <t>剪切</t>
  </si>
  <si>
    <t>shear</t>
  </si>
  <si>
    <t>用剪刀剪断绊线、雕刻南瓜、卸下鞍和地毯等装备、收获蜜脾[注 5]、移除雪傀儡的头[注 5]、给绵羊剪毛[注 5]、为哞菇和沼骸除菇[注 5]、修剪植物[仅BE]、剪断拴绳连接[注 5][仅JE]</t>
  </si>
  <si>
    <t>实体受伤</t>
  </si>
  <si>
    <t>entity_damage</t>
  </si>
  <si>
    <t>实体（不包括监守者）受伤；所有船、矿车与物品实体[注 3]的受伤与死亡</t>
  </si>
  <si>
    <t>饮用</t>
  </si>
  <si>
    <t>drink</t>
  </si>
  <si>
    <t>玩家或流浪商人喝完玻璃瓶中的液体；玩家饮用奶和蜂蜜，使用不祥之瓶</t>
  </si>
  <si>
    <t>进食</t>
  </si>
  <si>
    <t>eat</t>
  </si>
  <si>
    <t>玩家进食[注 6]；动物吃草；熊猫持续进食[仅BE]；喂食马[注 7]和骆驼；成功喂食其他绝大多数生物[仅BE]</t>
  </si>
  <si>
    <t>关闭容器</t>
  </si>
  <si>
    <t>container_close</t>
  </si>
  <si>
    <t>箱子、陷阱箱、末影箱、木桶或潜影盒关闭；潜影贝关闭其外壳、关闭运输矿车或运输船</t>
  </si>
  <si>
    <t>关闭方块</t>
  </si>
  <si>
    <t>block_close</t>
  </si>
  <si>
    <t>关闭门、活板门或栅栏门</t>
  </si>
  <si>
    <t>方块取消激活</t>
  </si>
  <si>
    <t>block_deactivate</t>
  </si>
  <si>
    <t>关闭拉杆；活塞收回；按钮、绊线以及压力板回复原本的状态</t>
  </si>
  <si>
    <t>分离方块</t>
  </si>
  <si>
    <t>block_detach</t>
  </si>
  <si>
    <t>拆除有效绊线线路的绊线；剪断栅栏上的拴绳连接[注 5][仅BE]；将拴绳从栅栏上取下[仅BE]</t>
  </si>
  <si>
    <t>打开容器</t>
  </si>
  <si>
    <t>container_open</t>
  </si>
  <si>
    <t>箱子、陷阱箱、末影箱、木桶、潜影盒、运输矿车或漏斗开启；潜影贝打开外壳</t>
  </si>
  <si>
    <t>打开方块</t>
  </si>
  <si>
    <t>block_open</t>
  </si>
  <si>
    <t>打开门、活板门或栅栏门</t>
  </si>
  <si>
    <t>激活方块</t>
  </si>
  <si>
    <t>block_activate</t>
  </si>
  <si>
    <t>打开拉杆；按钮、绊线以及压力板被激活；活塞伸出；发射器发射失败</t>
  </si>
  <si>
    <t>连接方块</t>
  </si>
  <si>
    <t>block_attach</t>
  </si>
  <si>
    <t>布置绊线形成有效绊线线路</t>
  </si>
  <si>
    <t>引爆</t>
  </si>
  <si>
    <t>prime_fuse</t>
  </si>
  <si>
    <t>TNT、苦力怕、TNT矿车[仅BE]准备爆炸；发射风弹[仅BE]</t>
  </si>
  <si>
    <t>奏响音符盒</t>
  </si>
  <si>
    <t>note_block_play</t>
  </si>
  <si>
    <t>方块变化</t>
  </si>
  <si>
    <t>block_change</t>
  </si>
  <si>
    <t>把书放上讲台或雕纹书架；取下讲台或雕纹书架的书；把植物种入或取出花盆；点燃或熄灭营火与蜡烛[注 5]；把蜡烛插在蛋糕上；大型垂滴叶倾斜；敲响钟；海龟蛋或嗅探兽蛋开裂；兔子啃食胡萝卜植株；玩家或狐狸采集甜浆果或发光浆果；与两种物品展示框中的物品互动；为重生锚充能；与堆肥桶交互；使用剪刀修剪植物[仅JE]；将耕地踩踏成泥土；饰纹陶罐晃动；使用染料改变炼药锅中的水的颜色[仅BE]；眼眸花转化；炼药锅因天气或滴水石锥增加一个液体等级[仅JE]；向末地传送门框架插入末影之眼[仅BE]；蠹虫将方块转化为虫蚀方块[仅BE]；失水恶魂改变湿润阶段</t>
  </si>
  <si>
    <t>破坏方块</t>
  </si>
  <si>
    <t>block_destroy</t>
  </si>
  <si>
    <t>破坏方块[注 5]以及末影人捡起方块[注 8]</t>
  </si>
  <si>
    <t>装起液体</t>
  </si>
  <si>
    <t>fluid_pickup</t>
  </si>
  <si>
    <t>用玻璃瓶收集水、蜂蜜或龙息[注 5]；用桶收集液体或细雪[注 5]以及将液体从炼药锅中移除[注 5]</t>
  </si>
  <si>
    <t>放置方块</t>
  </si>
  <si>
    <t>block_place</t>
  </si>
  <si>
    <t>放置方块[注 9]</t>
  </si>
  <si>
    <t>放置液体</t>
  </si>
  <si>
    <t>fluid_place</t>
  </si>
  <si>
    <t>炼药锅里增加一个液体等级（天气或滴水石锥也可触发）[仅BE]；用桶倒出液体[注 5]；发射器放置细雪；使用水瓶将方块转化为泥巴</t>
  </si>
  <si>
    <t>放置实体</t>
  </si>
  <si>
    <t>entity_place</t>
  </si>
  <si>
    <t>利用物品生成实体（如张贴画、使用刷怪蛋、使用生物桶[注 10]、放置船）；发射器发射刷怪蛋、TNT或生物桶；唤魔者召唤出尖牙或恼鬼</t>
  </si>
  <si>
    <t>雷击</t>
  </si>
  <si>
    <t>lightning_strike</t>
  </si>
  <si>
    <t>闪电生成</t>
  </si>
  <si>
    <t>传送</t>
  </si>
  <si>
    <t>teleport</t>
  </si>
  <si>
    <t>末影人的瞬移、紫颂果的传送、潜影贝的传送</t>
  </si>
  <si>
    <t>实体死亡</t>
  </si>
  <si>
    <t>entity_die</t>
  </si>
  <si>
    <t>实体（不包括监守者）死亡；盔甲架被敲掉</t>
  </si>
  <si>
    <t>爆炸</t>
  </si>
  <si>
    <t>explode</t>
  </si>
  <si>
    <t>TNT、苦力怕、床、重生锚、风弹或烟花火箭爆炸；风爆魔咒造成的爆炸</t>
  </si>
  <si>
    <t>展示架</t>
    <phoneticPr fontId="4" type="noConversion"/>
  </si>
  <si>
    <t>命令方块</t>
    <phoneticPr fontId="4" type="noConversion"/>
  </si>
  <si>
    <t>有物品占用或被锁定的槽位总数
也就是非空闲槽位总数</t>
    <phoneticPr fontId="4" type="noConversion"/>
  </si>
  <si>
    <t>命令方块储存的最近一次执行的命令的“成功次数”。
一般命令为0此或1次(红色结果或白色结果)；
“/execute”命令可以有多个执行对象，返回超过1的信号；
命令方块编辑界面点击完成会清零成功次数。</t>
    <phoneticPr fontId="4" type="noConversion"/>
  </si>
  <si>
    <t>左、中、右槽位有物品时，分别为输出增加1、2、4信号，即最终输出信号取值范围为0~7</t>
    <phoneticPr fontId="4" type="noConversion"/>
  </si>
  <si>
    <t>铜傀儡</t>
    <phoneticPr fontId="4" type="noConversion"/>
  </si>
  <si>
    <t>四种姿势(copper_golem_pose)为“站立(standing)”“坐下(sitting)”“奔跑(running)”“大字(star)”分别输出1~4的信号。</t>
    <phoneticPr fontId="4" type="noConversion"/>
  </si>
  <si>
    <t>讲台</t>
    <phoneticPr fontId="4" type="noConversion"/>
  </si>
  <si>
    <t>没有书时输出0信号；
有书时输出floor(1+14*(当前页码-1)/(总页码-1))；
常用15页的书可以输出与页码相等的1~15信号。</t>
    <phoneticPr fontId="4" type="noConversion"/>
  </si>
  <si>
    <t>Bounce</t>
    <phoneticPr fontId="4" type="noConversion"/>
  </si>
  <si>
    <t>信号</t>
    <phoneticPr fontId="4" type="noConversion"/>
  </si>
  <si>
    <r>
      <t>容器信号所需最少物品数</t>
    </r>
    <r>
      <rPr>
        <b/>
        <sz val="11"/>
        <color rgb="FFFF0000"/>
        <rFont val="等线"/>
        <charset val="134"/>
        <scheme val="minor"/>
      </rPr>
      <t>(64堆叠)</t>
    </r>
    <phoneticPr fontId="4" type="noConversion"/>
  </si>
  <si>
    <r>
      <t>容器信号所需最少物品数</t>
    </r>
    <r>
      <rPr>
        <b/>
        <sz val="11"/>
        <color rgb="FFFF0000"/>
        <rFont val="等线"/>
        <charset val="134"/>
        <scheme val="minor"/>
      </rPr>
      <t>(16堆叠)</t>
    </r>
    <phoneticPr fontId="4" type="noConversion"/>
  </si>
  <si>
    <t>容器槽位数</t>
    <phoneticPr fontId="4" type="noConversion"/>
  </si>
  <si>
    <t>信号步进</t>
    <phoneticPr fontId="4" type="noConversion"/>
  </si>
  <si>
    <t>水/细雪锅</t>
    <phoneticPr fontId="4" type="noConversion"/>
  </si>
  <si>
    <t>振动频率/信号</t>
    <phoneticPr fontId="4" type="noConversion"/>
  </si>
  <si>
    <t>唱片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</si>
</sst>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0" tint="-0.34998626667073579"/>
      <name val="等线"/>
      <family val="3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E5ECE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008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F3F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49955748161259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848F0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4"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2" xfId="0" applyFont="1" applyFill="1" applyBorder="1" applyAlignment="1">
      <alignment horizontal="left" vertical="center" wrapText="1"/>
    </xf>
    <xf numFmtId="2" fontId="0" fillId="11" borderId="2" xfId="0" applyNumberFormat="1" applyFont="1" applyFill="1" applyBorder="1" applyAlignment="1">
      <alignment horizontal="center" vertical="center"/>
    </xf>
    <xf numFmtId="0" fontId="0" fillId="11" borderId="2" xfId="0" applyFont="1" applyFill="1" applyBorder="1" applyAlignment="1">
      <alignment horizontal="right" vertical="center"/>
    </xf>
    <xf numFmtId="0" fontId="1" fillId="30" borderId="2" xfId="0" applyFont="1" applyFill="1" applyBorder="1" applyAlignment="1">
      <alignment horizontal="center" vertical="center"/>
    </xf>
    <xf numFmtId="0" fontId="0" fillId="30" borderId="2" xfId="0" applyFont="1" applyFill="1" applyBorder="1" applyAlignment="1">
      <alignment horizontal="right" vertical="center"/>
    </xf>
    <xf numFmtId="0" fontId="0" fillId="0" borderId="0" xfId="0" applyFont="1" applyFill="1" applyAlignment="1">
      <alignment horizontal="center"/>
    </xf>
    <xf numFmtId="0" fontId="1" fillId="11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left" vertical="center" wrapText="1"/>
    </xf>
    <xf numFmtId="0" fontId="1" fillId="11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left" vertical="center" wrapText="1"/>
    </xf>
    <xf numFmtId="0" fontId="5" fillId="11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1" borderId="2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right" vertical="center"/>
    </xf>
    <xf numFmtId="0" fontId="6" fillId="10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right" vertical="center"/>
    </xf>
    <xf numFmtId="0" fontId="5" fillId="32" borderId="2" xfId="0" applyFont="1" applyFill="1" applyBorder="1" applyAlignment="1">
      <alignment horizontal="center" vertical="center"/>
    </xf>
    <xf numFmtId="0" fontId="5" fillId="32" borderId="2" xfId="0" applyFont="1" applyFill="1" applyBorder="1" applyAlignment="1">
      <alignment horizontal="right" vertical="center"/>
    </xf>
    <xf numFmtId="0" fontId="6" fillId="32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 wrapText="1"/>
    </xf>
    <xf numFmtId="0" fontId="6" fillId="28" borderId="2" xfId="0" applyFont="1" applyFill="1" applyBorder="1" applyAlignment="1">
      <alignment horizontal="left" vertical="center" wrapText="1"/>
    </xf>
    <xf numFmtId="0" fontId="6" fillId="33" borderId="2" xfId="0" applyFont="1" applyFill="1" applyBorder="1" applyAlignment="1">
      <alignment horizontal="left" vertical="center" wrapText="1"/>
    </xf>
    <xf numFmtId="0" fontId="6" fillId="16" borderId="2" xfId="0" applyFont="1" applyFill="1" applyBorder="1" applyAlignment="1">
      <alignment horizontal="left" vertical="center" wrapText="1"/>
    </xf>
    <xf numFmtId="0" fontId="6" fillId="17" borderId="2" xfId="0" applyFont="1" applyFill="1" applyBorder="1" applyAlignment="1">
      <alignment horizontal="left" vertical="center" wrapText="1"/>
    </xf>
    <xf numFmtId="0" fontId="6" fillId="18" borderId="2" xfId="0" applyFont="1" applyFill="1" applyBorder="1" applyAlignment="1">
      <alignment horizontal="left" vertical="center" wrapText="1"/>
    </xf>
    <xf numFmtId="0" fontId="6" fillId="19" borderId="2" xfId="0" applyFont="1" applyFill="1" applyBorder="1" applyAlignment="1">
      <alignment horizontal="left" vertical="center" wrapText="1"/>
    </xf>
    <xf numFmtId="0" fontId="6" fillId="20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0" borderId="2" xfId="0" applyFont="1" applyFill="1" applyBorder="1" applyAlignment="1">
      <alignment horizontal="left" vertical="center" wrapText="1"/>
    </xf>
    <xf numFmtId="0" fontId="6" fillId="21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6" fillId="22" borderId="2" xfId="0" applyFont="1" applyFill="1" applyBorder="1" applyAlignment="1">
      <alignment horizontal="left" vertical="center" wrapText="1"/>
    </xf>
    <xf numFmtId="0" fontId="6" fillId="23" borderId="2" xfId="0" applyFont="1" applyFill="1" applyBorder="1" applyAlignment="1">
      <alignment horizontal="left" vertical="center" wrapText="1"/>
    </xf>
    <xf numFmtId="0" fontId="6" fillId="24" borderId="2" xfId="0" applyFont="1" applyFill="1" applyBorder="1" applyAlignment="1">
      <alignment horizontal="left" vertical="center" wrapText="1"/>
    </xf>
    <xf numFmtId="0" fontId="6" fillId="25" borderId="2" xfId="0" applyFont="1" applyFill="1" applyBorder="1" applyAlignment="1">
      <alignment horizontal="left" vertical="center" wrapText="1"/>
    </xf>
    <xf numFmtId="0" fontId="6" fillId="26" borderId="2" xfId="0" applyFont="1" applyFill="1" applyBorder="1" applyAlignment="1">
      <alignment horizontal="left" vertical="center" wrapText="1"/>
    </xf>
    <xf numFmtId="0" fontId="6" fillId="27" borderId="2" xfId="0" applyFont="1" applyFill="1" applyBorder="1" applyAlignment="1">
      <alignment horizontal="left" vertical="center" wrapText="1"/>
    </xf>
    <xf numFmtId="0" fontId="6" fillId="29" borderId="2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left" vertical="center"/>
    </xf>
    <xf numFmtId="0" fontId="5" fillId="9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7" fillId="0" borderId="2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A848F0"/>
      <color rgb="FFFF37F8"/>
      <color rgb="FF4A33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容器"/>
  <dimension ref="A1:AA23"/>
  <sheetViews>
    <sheetView tabSelected="1" workbookViewId="0">
      <selection sqref="A1:A4"/>
    </sheetView>
  </sheetViews>
  <sheetFormatPr defaultColWidth="8.6640625" defaultRowHeight="13.8"/>
  <cols>
    <col min="1" max="1" width="11.6640625" style="9" bestFit="1" customWidth="1"/>
    <col min="2" max="2" width="6" style="9" bestFit="1" customWidth="1"/>
    <col min="3" max="5" width="8.88671875" style="9" bestFit="1" customWidth="1"/>
    <col min="6" max="7" width="12.21875" style="9" bestFit="1" customWidth="1"/>
    <col min="8" max="8" width="11.109375" style="9" customWidth="1"/>
    <col min="9" max="9" width="11.6640625" style="9" bestFit="1" customWidth="1"/>
    <col min="10" max="10" width="6" style="9" bestFit="1" customWidth="1"/>
    <col min="11" max="13" width="8.88671875" style="9" bestFit="1" customWidth="1"/>
    <col min="14" max="15" width="12.21875" style="9" bestFit="1" customWidth="1"/>
    <col min="16" max="27" width="8.6640625" style="9"/>
  </cols>
  <sheetData>
    <row r="1" spans="1:15">
      <c r="A1" s="14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I1" s="18" t="s">
        <v>0</v>
      </c>
      <c r="J1" s="11" t="s">
        <v>1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</row>
    <row r="2" spans="1:15">
      <c r="A2" s="14"/>
      <c r="B2" s="11"/>
      <c r="C2" s="11"/>
      <c r="D2" s="11" t="s">
        <v>7</v>
      </c>
      <c r="E2" s="11" t="s">
        <v>8</v>
      </c>
      <c r="F2" s="11" t="s">
        <v>9</v>
      </c>
      <c r="G2" s="11" t="s">
        <v>10</v>
      </c>
      <c r="I2" s="18"/>
      <c r="J2" s="11"/>
      <c r="K2" s="11"/>
      <c r="L2" s="11" t="s">
        <v>7</v>
      </c>
      <c r="M2" s="11" t="s">
        <v>8</v>
      </c>
      <c r="N2" s="11" t="s">
        <v>9</v>
      </c>
      <c r="O2" s="11" t="s">
        <v>10</v>
      </c>
    </row>
    <row r="3" spans="1:15">
      <c r="A3" s="14"/>
      <c r="B3" s="11"/>
      <c r="C3" s="11"/>
      <c r="D3" s="11"/>
      <c r="E3" s="11"/>
      <c r="F3" s="11" t="s">
        <v>11</v>
      </c>
      <c r="G3" s="11"/>
      <c r="I3" s="18"/>
      <c r="J3" s="11"/>
      <c r="K3" s="11"/>
      <c r="L3" s="11"/>
      <c r="M3" s="11"/>
      <c r="N3" s="11" t="s">
        <v>11</v>
      </c>
      <c r="O3" s="11"/>
    </row>
    <row r="4" spans="1:15">
      <c r="A4" s="14"/>
      <c r="B4" s="11"/>
      <c r="C4" s="11"/>
      <c r="D4" s="11"/>
      <c r="E4" s="11"/>
      <c r="F4" s="11"/>
      <c r="G4" s="11"/>
      <c r="I4" s="18"/>
      <c r="J4" s="11"/>
      <c r="K4" s="11"/>
      <c r="L4" s="11"/>
      <c r="M4" s="11"/>
      <c r="N4" s="11"/>
      <c r="O4" s="11"/>
    </row>
    <row r="5" spans="1:15">
      <c r="A5" s="23" t="s">
        <v>223</v>
      </c>
      <c r="B5" s="24">
        <v>1</v>
      </c>
      <c r="C5" s="24">
        <v>3</v>
      </c>
      <c r="D5" s="24">
        <v>5</v>
      </c>
      <c r="E5" s="24">
        <v>9</v>
      </c>
      <c r="F5" s="24">
        <v>27</v>
      </c>
      <c r="G5" s="24">
        <v>54</v>
      </c>
      <c r="I5" s="23" t="s">
        <v>223</v>
      </c>
      <c r="J5" s="10">
        <v>1</v>
      </c>
      <c r="K5" s="10">
        <v>3</v>
      </c>
      <c r="L5" s="10">
        <v>5</v>
      </c>
      <c r="M5" s="10">
        <v>9</v>
      </c>
      <c r="N5" s="10">
        <v>27</v>
      </c>
      <c r="O5" s="10">
        <v>54</v>
      </c>
    </row>
    <row r="6" spans="1:15">
      <c r="A6" s="23" t="s">
        <v>224</v>
      </c>
      <c r="B6" s="5" t="str">
        <f t="shared" ref="B6:G6" si="0">IF(INT(64*B5/14/(9*64))&gt;0,INT(64*B5/14/(9*64))&amp;"行","")&amp;IF(INT(MOD(64*B5/14,(9*64))/64)&gt;0,INT(MOD(64*B5/14,(9*64))/64)&amp;"组","")&amp;IF(ROUND(MOD(64*B5/14,64),1)&gt;0,ROUND(MOD(64*B5/14,64),1)&amp;"个","")</f>
        <v>4.6个</v>
      </c>
      <c r="C6" s="5" t="str">
        <f t="shared" si="0"/>
        <v>13.7个</v>
      </c>
      <c r="D6" s="5" t="str">
        <f t="shared" si="0"/>
        <v>22.9个</v>
      </c>
      <c r="E6" s="5" t="str">
        <f t="shared" si="0"/>
        <v>41.1个</v>
      </c>
      <c r="F6" s="5" t="str">
        <f t="shared" si="0"/>
        <v>1组59.4个</v>
      </c>
      <c r="G6" s="5" t="str">
        <f t="shared" si="0"/>
        <v>3组54.9个</v>
      </c>
      <c r="I6" s="23" t="s">
        <v>224</v>
      </c>
      <c r="J6" s="5" t="str">
        <f t="shared" ref="J6:O6" si="1">IF(INT(16*J5/14/(9*16))&gt;0,INT(16*J5/14/(9*16))&amp;"行","")&amp;IF(INT(MOD(16*J5/14,(9*16))/16)&gt;0,INT(MOD(16*J5/14,(9*16))/16)&amp;"组","")&amp;IF(ROUND(MOD(16*J5/14,16),1)&gt;0,ROUND(MOD(16*J5/14,16),1)&amp;"个","")</f>
        <v>1.1个</v>
      </c>
      <c r="K6" s="5" t="str">
        <f t="shared" si="1"/>
        <v>3.4个</v>
      </c>
      <c r="L6" s="5" t="str">
        <f t="shared" si="1"/>
        <v>5.7个</v>
      </c>
      <c r="M6" s="5" t="str">
        <f t="shared" si="1"/>
        <v>10.3个</v>
      </c>
      <c r="N6" s="5" t="str">
        <f t="shared" si="1"/>
        <v>1组14.9个</v>
      </c>
      <c r="O6" s="5" t="str">
        <f t="shared" si="1"/>
        <v>3组13.7个</v>
      </c>
    </row>
    <row r="7" spans="1:15">
      <c r="A7" s="23" t="s">
        <v>220</v>
      </c>
      <c r="B7" s="17" t="s">
        <v>221</v>
      </c>
      <c r="C7" s="13"/>
      <c r="D7" s="13"/>
      <c r="E7" s="13"/>
      <c r="F7" s="13"/>
      <c r="G7" s="13"/>
      <c r="I7" s="23" t="s">
        <v>220</v>
      </c>
      <c r="J7" s="17" t="s">
        <v>222</v>
      </c>
      <c r="K7" s="13"/>
      <c r="L7" s="13"/>
      <c r="M7" s="13"/>
      <c r="N7" s="13"/>
      <c r="O7" s="13"/>
    </row>
    <row r="8" spans="1:15">
      <c r="A8" s="21">
        <v>0</v>
      </c>
      <c r="B8" s="18" t="s">
        <v>12</v>
      </c>
      <c r="C8" s="18"/>
      <c r="D8" s="18"/>
      <c r="E8" s="18"/>
      <c r="F8" s="18"/>
      <c r="G8" s="18"/>
      <c r="I8" s="21">
        <v>0</v>
      </c>
      <c r="J8" s="18" t="s">
        <v>12</v>
      </c>
      <c r="K8" s="18"/>
      <c r="L8" s="18"/>
      <c r="M8" s="18"/>
      <c r="N8" s="18"/>
      <c r="O8" s="18"/>
    </row>
    <row r="9" spans="1:15">
      <c r="A9" s="21">
        <v>1</v>
      </c>
      <c r="B9" s="18" t="s">
        <v>13</v>
      </c>
      <c r="C9" s="18"/>
      <c r="D9" s="18"/>
      <c r="E9" s="18"/>
      <c r="F9" s="18"/>
      <c r="G9" s="18"/>
      <c r="I9" s="21">
        <v>1</v>
      </c>
      <c r="J9" s="18" t="s">
        <v>13</v>
      </c>
      <c r="K9" s="18"/>
      <c r="L9" s="18"/>
      <c r="M9" s="18"/>
      <c r="N9" s="18"/>
      <c r="O9" s="18"/>
    </row>
    <row r="10" spans="1:15">
      <c r="A10" s="37">
        <v>2</v>
      </c>
      <c r="B10" s="38" t="str">
        <f>IF(INT(ROUNDUP((64*B$5*($A10-1)/14),0)/(9*64))&gt;0,INT(ROUNDUP((64*B$5*($A10-1)/14),0)/(9*64))&amp;"行","")&amp;IF(INT(MOD(ROUNDUP((64*B$5*($A10-1)/14),0),(9*64))/64)&gt;0,INT(MOD(ROUNDUP((64*B$5*($A10-1)/14),0),(9*64))/64)&amp;"组","")&amp;IF(MOD(ROUNDUP((64*B$5*($A10-1)/14),0),64)&gt;0,MOD(ROUNDUP((64*B$5*($A10-1)/14),0),64)&amp;"个","")</f>
        <v>5个</v>
      </c>
      <c r="C10" s="38" t="str">
        <f>IF(INT(ROUNDUP((64*C$5*($A10-1)/14),0)/(9*64))&gt;0,INT(ROUNDUP((64*C$5*($A10-1)/14),0)/(9*64))&amp;"行","")&amp;IF(INT(MOD(ROUNDUP((64*C$5*($A10-1)/14),0),(9*64))/64)&gt;0,INT(MOD(ROUNDUP((64*C$5*($A10-1)/14),0),(9*64))/64)&amp;"组","")&amp;IF(MOD(ROUNDUP((64*C$5*($A10-1)/14),0),64)&gt;0,MOD(ROUNDUP((64*C$5*($A10-1)/14),0),64)&amp;"个","")</f>
        <v>14个</v>
      </c>
      <c r="D10" s="38" t="str">
        <f>IF(INT(ROUNDUP((64*D$5*($A10-1)/14),0)/(9*64))&gt;0,INT(ROUNDUP((64*D$5*($A10-1)/14),0)/(9*64))&amp;"行","")&amp;IF(INT(MOD(ROUNDUP((64*D$5*($A10-1)/14),0),(9*64))/64)&gt;0,INT(MOD(ROUNDUP((64*D$5*($A10-1)/14),0),(9*64))/64)&amp;"组","")&amp;IF(MOD(ROUNDUP((64*D$5*($A10-1)/14),0),64)&gt;0,MOD(ROUNDUP((64*D$5*($A10-1)/14),0),64)&amp;"个","")</f>
        <v>23个</v>
      </c>
      <c r="E10" s="38" t="str">
        <f>IF(INT(ROUNDUP((64*E$5*($A10-1)/14),0)/(9*64))&gt;0,INT(ROUNDUP((64*E$5*($A10-1)/14),0)/(9*64))&amp;"行","")&amp;IF(INT(MOD(ROUNDUP((64*E$5*($A10-1)/14),0),(9*64))/64)&gt;0,INT(MOD(ROUNDUP((64*E$5*($A10-1)/14),0),(9*64))/64)&amp;"组","")&amp;IF(MOD(ROUNDUP((64*E$5*($A10-1)/14),0),64)&gt;0,MOD(ROUNDUP((64*E$5*($A10-1)/14),0),64)&amp;"个","")</f>
        <v>42个</v>
      </c>
      <c r="F10" s="38" t="str">
        <f>IF(INT(ROUNDUP((64*F$5*($A10-1)/14),0)/(9*64))&gt;0,INT(ROUNDUP((64*F$5*($A10-1)/14),0)/(9*64))&amp;"行","")&amp;IF(INT(MOD(ROUNDUP((64*F$5*($A10-1)/14),0),(9*64))/64)&gt;0,INT(MOD(ROUNDUP((64*F$5*($A10-1)/14),0),(9*64))/64)&amp;"组","")&amp;IF(MOD(ROUNDUP((64*F$5*($A10-1)/14),0),64)&gt;0,MOD(ROUNDUP((64*F$5*($A10-1)/14),0),64)&amp;"个","")</f>
        <v>1组60个</v>
      </c>
      <c r="G10" s="38" t="str">
        <f>IF(INT(ROUNDUP((64*G$5*($A10-1)/14),0)/(9*64))&gt;0,INT(ROUNDUP((64*G$5*($A10-1)/14),0)/(9*64))&amp;"行","")&amp;IF(INT(MOD(ROUNDUP((64*G$5*($A10-1)/14),0),(9*64))/64)&gt;0,INT(MOD(ROUNDUP((64*G$5*($A10-1)/14),0),(9*64))/64)&amp;"组","")&amp;IF(MOD(ROUNDUP((64*G$5*($A10-1)/14),0),64)&gt;0,MOD(ROUNDUP((64*G$5*($A10-1)/14),0),64)&amp;"个","")</f>
        <v>3组55个</v>
      </c>
      <c r="I10" s="37">
        <v>2</v>
      </c>
      <c r="J10" s="38" t="str">
        <f>IF(INT(ROUNDUP((16*J$5*($A10-1)/14),0)/(9*16))&gt;0,INT(ROUNDUP((16*J$5*($A10-1)/14),0)/(9*16))&amp;"行","")&amp;IF(INT(MOD(ROUNDUP((16*J$5*($A10-1)/14),0),(9*16))/16)&gt;0,INT(MOD(ROUNDUP((16*J$5*($A10-1)/14),0),(9*16))/16)&amp;"组","")&amp;IF(MOD(ROUNDUP((16*J$5*($A10-1)/14),0),16)&gt;0,MOD(ROUNDUP((16*J$5*($A10-1)/14),0),16)&amp;"个","")</f>
        <v>2个</v>
      </c>
      <c r="K10" s="38" t="str">
        <f>IF(INT(ROUNDUP((16*K$5*($A10-1)/14),0)/(9*16))&gt;0,INT(ROUNDUP((16*K$5*($A10-1)/14),0)/(9*16))&amp;"行","")&amp;IF(INT(MOD(ROUNDUP((16*K$5*($A10-1)/14),0),(9*16))/16)&gt;0,INT(MOD(ROUNDUP((16*K$5*($A10-1)/14),0),(9*16))/16)&amp;"组","")&amp;IF(MOD(ROUNDUP((16*K$5*($A10-1)/14),0),16)&gt;0,MOD(ROUNDUP((16*K$5*($A10-1)/14),0),16)&amp;"个","")</f>
        <v>4个</v>
      </c>
      <c r="L10" s="38" t="str">
        <f>IF(INT(ROUNDUP((16*L$5*($A10-1)/14),0)/(9*16))&gt;0,INT(ROUNDUP((16*L$5*($A10-1)/14),0)/(9*16))&amp;"行","")&amp;IF(INT(MOD(ROUNDUP((16*L$5*($A10-1)/14),0),(9*16))/16)&gt;0,INT(MOD(ROUNDUP((16*L$5*($A10-1)/14),0),(9*16))/16)&amp;"组","")&amp;IF(MOD(ROUNDUP((16*L$5*($A10-1)/14),0),16)&gt;0,MOD(ROUNDUP((16*L$5*($A10-1)/14),0),16)&amp;"个","")</f>
        <v>6个</v>
      </c>
      <c r="M10" s="38" t="str">
        <f>IF(INT(ROUNDUP((16*M$5*($A10-1)/14),0)/(9*16))&gt;0,INT(ROUNDUP((16*M$5*($A10-1)/14),0)/(9*16))&amp;"行","")&amp;IF(INT(MOD(ROUNDUP((16*M$5*($A10-1)/14),0),(9*16))/16)&gt;0,INT(MOD(ROUNDUP((16*M$5*($A10-1)/14),0),(9*16))/16)&amp;"组","")&amp;IF(MOD(ROUNDUP((16*M$5*($A10-1)/14),0),16)&gt;0,MOD(ROUNDUP((16*M$5*($A10-1)/14),0),16)&amp;"个","")</f>
        <v>11个</v>
      </c>
      <c r="N10" s="38" t="str">
        <f>IF(INT(ROUNDUP((16*N$5*($A10-1)/14),0)/(9*16))&gt;0,INT(ROUNDUP((16*N$5*($A10-1)/14),0)/(9*16))&amp;"行","")&amp;IF(INT(MOD(ROUNDUP((16*N$5*($A10-1)/14),0),(9*16))/16)&gt;0,INT(MOD(ROUNDUP((16*N$5*($A10-1)/14),0),(9*16))/16)&amp;"组","")&amp;IF(MOD(ROUNDUP((16*N$5*($A10-1)/14),0),16)&gt;0,MOD(ROUNDUP((16*N$5*($A10-1)/14),0),16)&amp;"个","")</f>
        <v>1组15个</v>
      </c>
      <c r="O10" s="38" t="str">
        <f>IF(INT(ROUNDUP((16*O$5*($A10-1)/14),0)/(9*16))&gt;0,INT(ROUNDUP((16*O$5*($A10-1)/14),0)/(9*16))&amp;"行","")&amp;IF(INT(MOD(ROUNDUP((16*O$5*($A10-1)/14),0),(9*16))/16)&gt;0,INT(MOD(ROUNDUP((16*O$5*($A10-1)/14),0),(9*16))/16)&amp;"组","")&amp;IF(MOD(ROUNDUP((16*O$5*($A10-1)/14),0),16)&gt;0,MOD(ROUNDUP((16*O$5*($A10-1)/14),0),16)&amp;"个","")</f>
        <v>3组14个</v>
      </c>
    </row>
    <row r="11" spans="1:15">
      <c r="A11" s="37">
        <v>3</v>
      </c>
      <c r="B11" s="38" t="str">
        <f>IF(INT(ROUNDUP((64*B$5*($A11-1)/14),0)/(9*64))&gt;0,INT(ROUNDUP((64*B$5*($A11-1)/14),0)/(9*64))&amp;"行","")&amp;IF(INT(MOD(ROUNDUP((64*B$5*($A11-1)/14),0),(9*64))/64)&gt;0,INT(MOD(ROUNDUP((64*B$5*($A11-1)/14),0),(9*64))/64)&amp;"组","")&amp;IF(MOD(ROUNDUP((64*B$5*($A11-1)/14),0),64)&gt;0,MOD(ROUNDUP((64*B$5*($A11-1)/14),0),64)&amp;"个","")</f>
        <v>10个</v>
      </c>
      <c r="C11" s="38" t="str">
        <f>IF(INT(ROUNDUP((64*C$5*($A11-1)/14),0)/(9*64))&gt;0,INT(ROUNDUP((64*C$5*($A11-1)/14),0)/(9*64))&amp;"行","")&amp;IF(INT(MOD(ROUNDUP((64*C$5*($A11-1)/14),0),(9*64))/64)&gt;0,INT(MOD(ROUNDUP((64*C$5*($A11-1)/14),0),(9*64))/64)&amp;"组","")&amp;IF(MOD(ROUNDUP((64*C$5*($A11-1)/14),0),64)&gt;0,MOD(ROUNDUP((64*C$5*($A11-1)/14),0),64)&amp;"个","")</f>
        <v>28个</v>
      </c>
      <c r="D11" s="38" t="str">
        <f>IF(INT(ROUNDUP((64*D$5*($A11-1)/14),0)/(9*64))&gt;0,INT(ROUNDUP((64*D$5*($A11-1)/14),0)/(9*64))&amp;"行","")&amp;IF(INT(MOD(ROUNDUP((64*D$5*($A11-1)/14),0),(9*64))/64)&gt;0,INT(MOD(ROUNDUP((64*D$5*($A11-1)/14),0),(9*64))/64)&amp;"组","")&amp;IF(MOD(ROUNDUP((64*D$5*($A11-1)/14),0),64)&gt;0,MOD(ROUNDUP((64*D$5*($A11-1)/14),0),64)&amp;"个","")</f>
        <v>46个</v>
      </c>
      <c r="E11" s="38" t="str">
        <f>IF(INT(ROUNDUP((64*E$5*($A11-1)/14),0)/(9*64))&gt;0,INT(ROUNDUP((64*E$5*($A11-1)/14),0)/(9*64))&amp;"行","")&amp;IF(INT(MOD(ROUNDUP((64*E$5*($A11-1)/14),0),(9*64))/64)&gt;0,INT(MOD(ROUNDUP((64*E$5*($A11-1)/14),0),(9*64))/64)&amp;"组","")&amp;IF(MOD(ROUNDUP((64*E$5*($A11-1)/14),0),64)&gt;0,MOD(ROUNDUP((64*E$5*($A11-1)/14),0),64)&amp;"个","")</f>
        <v>1组19个</v>
      </c>
      <c r="F11" s="38" t="str">
        <f>IF(INT(ROUNDUP((64*F$5*($A11-1)/14),0)/(9*64))&gt;0,INT(ROUNDUP((64*F$5*($A11-1)/14),0)/(9*64))&amp;"行","")&amp;IF(INT(MOD(ROUNDUP((64*F$5*($A11-1)/14),0),(9*64))/64)&gt;0,INT(MOD(ROUNDUP((64*F$5*($A11-1)/14),0),(9*64))/64)&amp;"组","")&amp;IF(MOD(ROUNDUP((64*F$5*($A11-1)/14),0),64)&gt;0,MOD(ROUNDUP((64*F$5*($A11-1)/14),0),64)&amp;"个","")</f>
        <v>3组55个</v>
      </c>
      <c r="G11" s="38" t="str">
        <f>IF(INT(ROUNDUP((64*G$5*($A11-1)/14),0)/(9*64))&gt;0,INT(ROUNDUP((64*G$5*($A11-1)/14),0)/(9*64))&amp;"行","")&amp;IF(INT(MOD(ROUNDUP((64*G$5*($A11-1)/14),0),(9*64))/64)&gt;0,INT(MOD(ROUNDUP((64*G$5*($A11-1)/14),0),(9*64))/64)&amp;"组","")&amp;IF(MOD(ROUNDUP((64*G$5*($A11-1)/14),0),64)&gt;0,MOD(ROUNDUP((64*G$5*($A11-1)/14),0),64)&amp;"个","")</f>
        <v>7组46个</v>
      </c>
      <c r="I11" s="37">
        <v>3</v>
      </c>
      <c r="J11" s="38" t="str">
        <f>IF(INT(ROUNDUP((16*J$5*($A11-1)/14),0)/(9*16))&gt;0,INT(ROUNDUP((16*J$5*($A11-1)/14),0)/(9*16))&amp;"行","")&amp;IF(INT(MOD(ROUNDUP((16*J$5*($A11-1)/14),0),(9*16))/16)&gt;0,INT(MOD(ROUNDUP((16*J$5*($A11-1)/14),0),(9*16))/16)&amp;"组","")&amp;IF(MOD(ROUNDUP((16*J$5*($A11-1)/14),0),16)&gt;0,MOD(ROUNDUP((16*J$5*($A11-1)/14),0),16)&amp;"个","")</f>
        <v>3个</v>
      </c>
      <c r="K11" s="38" t="str">
        <f>IF(INT(ROUNDUP((16*K$5*($A11-1)/14),0)/(9*16))&gt;0,INT(ROUNDUP((16*K$5*($A11-1)/14),0)/(9*16))&amp;"行","")&amp;IF(INT(MOD(ROUNDUP((16*K$5*($A11-1)/14),0),(9*16))/16)&gt;0,INT(MOD(ROUNDUP((16*K$5*($A11-1)/14),0),(9*16))/16)&amp;"组","")&amp;IF(MOD(ROUNDUP((16*K$5*($A11-1)/14),0),16)&gt;0,MOD(ROUNDUP((16*K$5*($A11-1)/14),0),16)&amp;"个","")</f>
        <v>7个</v>
      </c>
      <c r="L11" s="38" t="str">
        <f>IF(INT(ROUNDUP((16*L$5*($A11-1)/14),0)/(9*16))&gt;0,INT(ROUNDUP((16*L$5*($A11-1)/14),0)/(9*16))&amp;"行","")&amp;IF(INT(MOD(ROUNDUP((16*L$5*($A11-1)/14),0),(9*16))/16)&gt;0,INT(MOD(ROUNDUP((16*L$5*($A11-1)/14),0),(9*16))/16)&amp;"组","")&amp;IF(MOD(ROUNDUP((16*L$5*($A11-1)/14),0),16)&gt;0,MOD(ROUNDUP((16*L$5*($A11-1)/14),0),16)&amp;"个","")</f>
        <v>12个</v>
      </c>
      <c r="M11" s="38" t="str">
        <f>IF(INT(ROUNDUP((16*M$5*($A11-1)/14),0)/(9*16))&gt;0,INT(ROUNDUP((16*M$5*($A11-1)/14),0)/(9*16))&amp;"行","")&amp;IF(INT(MOD(ROUNDUP((16*M$5*($A11-1)/14),0),(9*16))/16)&gt;0,INT(MOD(ROUNDUP((16*M$5*($A11-1)/14),0),(9*16))/16)&amp;"组","")&amp;IF(MOD(ROUNDUP((16*M$5*($A11-1)/14),0),16)&gt;0,MOD(ROUNDUP((16*M$5*($A11-1)/14),0),16)&amp;"个","")</f>
        <v>1组5个</v>
      </c>
      <c r="N11" s="38" t="str">
        <f>IF(INT(ROUNDUP((16*N$5*($A11-1)/14),0)/(9*16))&gt;0,INT(ROUNDUP((16*N$5*($A11-1)/14),0)/(9*16))&amp;"行","")&amp;IF(INT(MOD(ROUNDUP((16*N$5*($A11-1)/14),0),(9*16))/16)&gt;0,INT(MOD(ROUNDUP((16*N$5*($A11-1)/14),0),(9*16))/16)&amp;"组","")&amp;IF(MOD(ROUNDUP((16*N$5*($A11-1)/14),0),16)&gt;0,MOD(ROUNDUP((16*N$5*($A11-1)/14),0),16)&amp;"个","")</f>
        <v>3组14个</v>
      </c>
      <c r="O11" s="38" t="str">
        <f>IF(INT(ROUNDUP((16*O$5*($A11-1)/14),0)/(9*16))&gt;0,INT(ROUNDUP((16*O$5*($A11-1)/14),0)/(9*16))&amp;"行","")&amp;IF(INT(MOD(ROUNDUP((16*O$5*($A11-1)/14),0),(9*16))/16)&gt;0,INT(MOD(ROUNDUP((16*O$5*($A11-1)/14),0),(9*16))/16)&amp;"组","")&amp;IF(MOD(ROUNDUP((16*O$5*($A11-1)/14),0),16)&gt;0,MOD(ROUNDUP((16*O$5*($A11-1)/14),0),16)&amp;"个","")</f>
        <v>7组12个</v>
      </c>
    </row>
    <row r="12" spans="1:15">
      <c r="A12" s="26">
        <v>4</v>
      </c>
      <c r="B12" s="26" t="str">
        <f>IF(INT(ROUNDUP((64*B$5*($A12-1)/14),0)/(9*64))&gt;0,INT(ROUNDUP((64*B$5*($A12-1)/14),0)/(9*64))&amp;"行","")&amp;IF(INT(MOD(ROUNDUP((64*B$5*($A12-1)/14),0),(9*64))/64)&gt;0,INT(MOD(ROUNDUP((64*B$5*($A12-1)/14),0),(9*64))/64)&amp;"组","")&amp;IF(MOD(ROUNDUP((64*B$5*($A12-1)/14),0),64)&gt;0,MOD(ROUNDUP((64*B$5*($A12-1)/14),0),64)&amp;"个","")</f>
        <v>14个</v>
      </c>
      <c r="C12" s="26" t="str">
        <f>IF(INT(ROUNDUP((64*C$5*($A12-1)/14),0)/(9*64))&gt;0,INT(ROUNDUP((64*C$5*($A12-1)/14),0)/(9*64))&amp;"行","")&amp;IF(INT(MOD(ROUNDUP((64*C$5*($A12-1)/14),0),(9*64))/64)&gt;0,INT(MOD(ROUNDUP((64*C$5*($A12-1)/14),0),(9*64))/64)&amp;"组","")&amp;IF(MOD(ROUNDUP((64*C$5*($A12-1)/14),0),64)&gt;0,MOD(ROUNDUP((64*C$5*($A12-1)/14),0),64)&amp;"个","")</f>
        <v>42个</v>
      </c>
      <c r="D12" s="26" t="str">
        <f>IF(INT(ROUNDUP((64*D$5*($A12-1)/14),0)/(9*64))&gt;0,INT(ROUNDUP((64*D$5*($A12-1)/14),0)/(9*64))&amp;"行","")&amp;IF(INT(MOD(ROUNDUP((64*D$5*($A12-1)/14),0),(9*64))/64)&gt;0,INT(MOD(ROUNDUP((64*D$5*($A12-1)/14),0),(9*64))/64)&amp;"组","")&amp;IF(MOD(ROUNDUP((64*D$5*($A12-1)/14),0),64)&gt;0,MOD(ROUNDUP((64*D$5*($A12-1)/14),0),64)&amp;"个","")</f>
        <v>1组5个</v>
      </c>
      <c r="E12" s="26" t="str">
        <f>IF(INT(ROUNDUP((64*E$5*($A12-1)/14),0)/(9*64))&gt;0,INT(ROUNDUP((64*E$5*($A12-1)/14),0)/(9*64))&amp;"行","")&amp;IF(INT(MOD(ROUNDUP((64*E$5*($A12-1)/14),0),(9*64))/64)&gt;0,INT(MOD(ROUNDUP((64*E$5*($A12-1)/14),0),(9*64))/64)&amp;"组","")&amp;IF(MOD(ROUNDUP((64*E$5*($A12-1)/14),0),64)&gt;0,MOD(ROUNDUP((64*E$5*($A12-1)/14),0),64)&amp;"个","")</f>
        <v>1组60个</v>
      </c>
      <c r="F12" s="26" t="str">
        <f>IF(INT(ROUNDUP((64*F$5*($A12-1)/14),0)/(9*64))&gt;0,INT(ROUNDUP((64*F$5*($A12-1)/14),0)/(9*64))&amp;"行","")&amp;IF(INT(MOD(ROUNDUP((64*F$5*($A12-1)/14),0),(9*64))/64)&gt;0,INT(MOD(ROUNDUP((64*F$5*($A12-1)/14),0),(9*64))/64)&amp;"组","")&amp;IF(MOD(ROUNDUP((64*F$5*($A12-1)/14),0),64)&gt;0,MOD(ROUNDUP((64*F$5*($A12-1)/14),0),64)&amp;"个","")</f>
        <v>5组51个</v>
      </c>
      <c r="G12" s="26" t="str">
        <f>IF(INT(ROUNDUP((64*G$5*($A12-1)/14),0)/(9*64))&gt;0,INT(ROUNDUP((64*G$5*($A12-1)/14),0)/(9*64))&amp;"行","")&amp;IF(INT(MOD(ROUNDUP((64*G$5*($A12-1)/14),0),(9*64))/64)&gt;0,INT(MOD(ROUNDUP((64*G$5*($A12-1)/14),0),(9*64))/64)&amp;"组","")&amp;IF(MOD(ROUNDUP((64*G$5*($A12-1)/14),0),64)&gt;0,MOD(ROUNDUP((64*G$5*($A12-1)/14),0),64)&amp;"个","")</f>
        <v>1行2组37个</v>
      </c>
      <c r="I12" s="26">
        <v>4</v>
      </c>
      <c r="J12" s="26" t="str">
        <f>IF(INT(ROUNDUP((16*J$5*($A12-1)/14),0)/(9*16))&gt;0,INT(ROUNDUP((16*J$5*($A12-1)/14),0)/(9*16))&amp;"行","")&amp;IF(INT(MOD(ROUNDUP((16*J$5*($A12-1)/14),0),(9*16))/16)&gt;0,INT(MOD(ROUNDUP((16*J$5*($A12-1)/14),0),(9*16))/16)&amp;"组","")&amp;IF(MOD(ROUNDUP((16*J$5*($A12-1)/14),0),16)&gt;0,MOD(ROUNDUP((16*J$5*($A12-1)/14),0),16)&amp;"个","")</f>
        <v>4个</v>
      </c>
      <c r="K12" s="26" t="str">
        <f>IF(INT(ROUNDUP((16*K$5*($A12-1)/14),0)/(9*16))&gt;0,INT(ROUNDUP((16*K$5*($A12-1)/14),0)/(9*16))&amp;"行","")&amp;IF(INT(MOD(ROUNDUP((16*K$5*($A12-1)/14),0),(9*16))/16)&gt;0,INT(MOD(ROUNDUP((16*K$5*($A12-1)/14),0),(9*16))/16)&amp;"组","")&amp;IF(MOD(ROUNDUP((16*K$5*($A12-1)/14),0),16)&gt;0,MOD(ROUNDUP((16*K$5*($A12-1)/14),0),16)&amp;"个","")</f>
        <v>11个</v>
      </c>
      <c r="L12" s="26" t="str">
        <f>IF(INT(ROUNDUP((16*L$5*($A12-1)/14),0)/(9*16))&gt;0,INT(ROUNDUP((16*L$5*($A12-1)/14),0)/(9*16))&amp;"行","")&amp;IF(INT(MOD(ROUNDUP((16*L$5*($A12-1)/14),0),(9*16))/16)&gt;0,INT(MOD(ROUNDUP((16*L$5*($A12-1)/14),0),(9*16))/16)&amp;"组","")&amp;IF(MOD(ROUNDUP((16*L$5*($A12-1)/14),0),16)&gt;0,MOD(ROUNDUP((16*L$5*($A12-1)/14),0),16)&amp;"个","")</f>
        <v>1组2个</v>
      </c>
      <c r="M12" s="26" t="str">
        <f>IF(INT(ROUNDUP((16*M$5*($A12-1)/14),0)/(9*16))&gt;0,INT(ROUNDUP((16*M$5*($A12-1)/14),0)/(9*16))&amp;"行","")&amp;IF(INT(MOD(ROUNDUP((16*M$5*($A12-1)/14),0),(9*16))/16)&gt;0,INT(MOD(ROUNDUP((16*M$5*($A12-1)/14),0),(9*16))/16)&amp;"组","")&amp;IF(MOD(ROUNDUP((16*M$5*($A12-1)/14),0),16)&gt;0,MOD(ROUNDUP((16*M$5*($A12-1)/14),0),16)&amp;"个","")</f>
        <v>1组15个</v>
      </c>
      <c r="N12" s="26" t="str">
        <f>IF(INT(ROUNDUP((16*N$5*($A12-1)/14),0)/(9*16))&gt;0,INT(ROUNDUP((16*N$5*($A12-1)/14),0)/(9*16))&amp;"行","")&amp;IF(INT(MOD(ROUNDUP((16*N$5*($A12-1)/14),0),(9*16))/16)&gt;0,INT(MOD(ROUNDUP((16*N$5*($A12-1)/14),0),(9*16))/16)&amp;"组","")&amp;IF(MOD(ROUNDUP((16*N$5*($A12-1)/14),0),16)&gt;0,MOD(ROUNDUP((16*N$5*($A12-1)/14),0),16)&amp;"个","")</f>
        <v>5组13个</v>
      </c>
      <c r="O12" s="26" t="str">
        <f>IF(INT(ROUNDUP((16*O$5*($A12-1)/14),0)/(9*16))&gt;0,INT(ROUNDUP((16*O$5*($A12-1)/14),0)/(9*16))&amp;"行","")&amp;IF(INT(MOD(ROUNDUP((16*O$5*($A12-1)/14),0),(9*16))/16)&gt;0,INT(MOD(ROUNDUP((16*O$5*($A12-1)/14),0),(9*16))/16)&amp;"组","")&amp;IF(MOD(ROUNDUP((16*O$5*($A12-1)/14),0),16)&gt;0,MOD(ROUNDUP((16*O$5*($A12-1)/14),0),16)&amp;"个","")</f>
        <v>1行2组10个</v>
      </c>
    </row>
    <row r="13" spans="1:15">
      <c r="A13" s="26">
        <v>5</v>
      </c>
      <c r="B13" s="26" t="str">
        <f>IF(INT(ROUNDUP((64*B$5*($A13-1)/14),0)/(9*64))&gt;0,INT(ROUNDUP((64*B$5*($A13-1)/14),0)/(9*64))&amp;"行","")&amp;IF(INT(MOD(ROUNDUP((64*B$5*($A13-1)/14),0),(9*64))/64)&gt;0,INT(MOD(ROUNDUP((64*B$5*($A13-1)/14),0),(9*64))/64)&amp;"组","")&amp;IF(MOD(ROUNDUP((64*B$5*($A13-1)/14),0),64)&gt;0,MOD(ROUNDUP((64*B$5*($A13-1)/14),0),64)&amp;"个","")</f>
        <v>19个</v>
      </c>
      <c r="C13" s="26" t="str">
        <f>IF(INT(ROUNDUP((64*C$5*($A13-1)/14),0)/(9*64))&gt;0,INT(ROUNDUP((64*C$5*($A13-1)/14),0)/(9*64))&amp;"行","")&amp;IF(INT(MOD(ROUNDUP((64*C$5*($A13-1)/14),0),(9*64))/64)&gt;0,INT(MOD(ROUNDUP((64*C$5*($A13-1)/14),0),(9*64))/64)&amp;"组","")&amp;IF(MOD(ROUNDUP((64*C$5*($A13-1)/14),0),64)&gt;0,MOD(ROUNDUP((64*C$5*($A13-1)/14),0),64)&amp;"个","")</f>
        <v>55个</v>
      </c>
      <c r="D13" s="26" t="str">
        <f>IF(INT(ROUNDUP((64*D$5*($A13-1)/14),0)/(9*64))&gt;0,INT(ROUNDUP((64*D$5*($A13-1)/14),0)/(9*64))&amp;"行","")&amp;IF(INT(MOD(ROUNDUP((64*D$5*($A13-1)/14),0),(9*64))/64)&gt;0,INT(MOD(ROUNDUP((64*D$5*($A13-1)/14),0),(9*64))/64)&amp;"组","")&amp;IF(MOD(ROUNDUP((64*D$5*($A13-1)/14),0),64)&gt;0,MOD(ROUNDUP((64*D$5*($A13-1)/14),0),64)&amp;"个","")</f>
        <v>1组28个</v>
      </c>
      <c r="E13" s="26" t="str">
        <f>IF(INT(ROUNDUP((64*E$5*($A13-1)/14),0)/(9*64))&gt;0,INT(ROUNDUP((64*E$5*($A13-1)/14),0)/(9*64))&amp;"行","")&amp;IF(INT(MOD(ROUNDUP((64*E$5*($A13-1)/14),0),(9*64))/64)&gt;0,INT(MOD(ROUNDUP((64*E$5*($A13-1)/14),0),(9*64))/64)&amp;"组","")&amp;IF(MOD(ROUNDUP((64*E$5*($A13-1)/14),0),64)&gt;0,MOD(ROUNDUP((64*E$5*($A13-1)/14),0),64)&amp;"个","")</f>
        <v>2组37个</v>
      </c>
      <c r="F13" s="26" t="str">
        <f>IF(INT(ROUNDUP((64*F$5*($A13-1)/14),0)/(9*64))&gt;0,INT(ROUNDUP((64*F$5*($A13-1)/14),0)/(9*64))&amp;"行","")&amp;IF(INT(MOD(ROUNDUP((64*F$5*($A13-1)/14),0),(9*64))/64)&gt;0,INT(MOD(ROUNDUP((64*F$5*($A13-1)/14),0),(9*64))/64)&amp;"组","")&amp;IF(MOD(ROUNDUP((64*F$5*($A13-1)/14),0),64)&gt;0,MOD(ROUNDUP((64*F$5*($A13-1)/14),0),64)&amp;"个","")</f>
        <v>7组46个</v>
      </c>
      <c r="G13" s="26" t="str">
        <f>IF(INT(ROUNDUP((64*G$5*($A13-1)/14),0)/(9*64))&gt;0,INT(ROUNDUP((64*G$5*($A13-1)/14),0)/(9*64))&amp;"行","")&amp;IF(INT(MOD(ROUNDUP((64*G$5*($A13-1)/14),0),(9*64))/64)&gt;0,INT(MOD(ROUNDUP((64*G$5*($A13-1)/14),0),(9*64))/64)&amp;"组","")&amp;IF(MOD(ROUNDUP((64*G$5*($A13-1)/14),0),64)&gt;0,MOD(ROUNDUP((64*G$5*($A13-1)/14),0),64)&amp;"个","")</f>
        <v>1行6组28个</v>
      </c>
      <c r="I13" s="26">
        <v>5</v>
      </c>
      <c r="J13" s="26" t="str">
        <f>IF(INT(ROUNDUP((16*J$5*($A13-1)/14),0)/(9*16))&gt;0,INT(ROUNDUP((16*J$5*($A13-1)/14),0)/(9*16))&amp;"行","")&amp;IF(INT(MOD(ROUNDUP((16*J$5*($A13-1)/14),0),(9*16))/16)&gt;0,INT(MOD(ROUNDUP((16*J$5*($A13-1)/14),0),(9*16))/16)&amp;"组","")&amp;IF(MOD(ROUNDUP((16*J$5*($A13-1)/14),0),16)&gt;0,MOD(ROUNDUP((16*J$5*($A13-1)/14),0),16)&amp;"个","")</f>
        <v>5个</v>
      </c>
      <c r="K13" s="26" t="str">
        <f>IF(INT(ROUNDUP((16*K$5*($A13-1)/14),0)/(9*16))&gt;0,INT(ROUNDUP((16*K$5*($A13-1)/14),0)/(9*16))&amp;"行","")&amp;IF(INT(MOD(ROUNDUP((16*K$5*($A13-1)/14),0),(9*16))/16)&gt;0,INT(MOD(ROUNDUP((16*K$5*($A13-1)/14),0),(9*16))/16)&amp;"组","")&amp;IF(MOD(ROUNDUP((16*K$5*($A13-1)/14),0),16)&gt;0,MOD(ROUNDUP((16*K$5*($A13-1)/14),0),16)&amp;"个","")</f>
        <v>14个</v>
      </c>
      <c r="L13" s="26" t="str">
        <f>IF(INT(ROUNDUP((16*L$5*($A13-1)/14),0)/(9*16))&gt;0,INT(ROUNDUP((16*L$5*($A13-1)/14),0)/(9*16))&amp;"行","")&amp;IF(INT(MOD(ROUNDUP((16*L$5*($A13-1)/14),0),(9*16))/16)&gt;0,INT(MOD(ROUNDUP((16*L$5*($A13-1)/14),0),(9*16))/16)&amp;"组","")&amp;IF(MOD(ROUNDUP((16*L$5*($A13-1)/14),0),16)&gt;0,MOD(ROUNDUP((16*L$5*($A13-1)/14),0),16)&amp;"个","")</f>
        <v>1组7个</v>
      </c>
      <c r="M13" s="26" t="str">
        <f>IF(INT(ROUNDUP((16*M$5*($A13-1)/14),0)/(9*16))&gt;0,INT(ROUNDUP((16*M$5*($A13-1)/14),0)/(9*16))&amp;"行","")&amp;IF(INT(MOD(ROUNDUP((16*M$5*($A13-1)/14),0),(9*16))/16)&gt;0,INT(MOD(ROUNDUP((16*M$5*($A13-1)/14),0),(9*16))/16)&amp;"组","")&amp;IF(MOD(ROUNDUP((16*M$5*($A13-1)/14),0),16)&gt;0,MOD(ROUNDUP((16*M$5*($A13-1)/14),0),16)&amp;"个","")</f>
        <v>2组10个</v>
      </c>
      <c r="N13" s="26" t="str">
        <f>IF(INT(ROUNDUP((16*N$5*($A13-1)/14),0)/(9*16))&gt;0,INT(ROUNDUP((16*N$5*($A13-1)/14),0)/(9*16))&amp;"行","")&amp;IF(INT(MOD(ROUNDUP((16*N$5*($A13-1)/14),0),(9*16))/16)&gt;0,INT(MOD(ROUNDUP((16*N$5*($A13-1)/14),0),(9*16))/16)&amp;"组","")&amp;IF(MOD(ROUNDUP((16*N$5*($A13-1)/14),0),16)&gt;0,MOD(ROUNDUP((16*N$5*($A13-1)/14),0),16)&amp;"个","")</f>
        <v>7组12个</v>
      </c>
      <c r="O13" s="26" t="str">
        <f>IF(INT(ROUNDUP((16*O$5*($A13-1)/14),0)/(9*16))&gt;0,INT(ROUNDUP((16*O$5*($A13-1)/14),0)/(9*16))&amp;"行","")&amp;IF(INT(MOD(ROUNDUP((16*O$5*($A13-1)/14),0),(9*16))/16)&gt;0,INT(MOD(ROUNDUP((16*O$5*($A13-1)/14),0),(9*16))/16)&amp;"组","")&amp;IF(MOD(ROUNDUP((16*O$5*($A13-1)/14),0),16)&gt;0,MOD(ROUNDUP((16*O$5*($A13-1)/14),0),16)&amp;"个","")</f>
        <v>1行6组7个</v>
      </c>
    </row>
    <row r="14" spans="1:15">
      <c r="A14" s="27">
        <v>6</v>
      </c>
      <c r="B14" s="27" t="str">
        <f>IF(INT(ROUNDUP((64*B$5*($A14-1)/14),0)/(9*64))&gt;0,INT(ROUNDUP((64*B$5*($A14-1)/14),0)/(9*64))&amp;"行","")&amp;IF(INT(MOD(ROUNDUP((64*B$5*($A14-1)/14),0),(9*64))/64)&gt;0,INT(MOD(ROUNDUP((64*B$5*($A14-1)/14),0),(9*64))/64)&amp;"组","")&amp;IF(MOD(ROUNDUP((64*B$5*($A14-1)/14),0),64)&gt;0,MOD(ROUNDUP((64*B$5*($A14-1)/14),0),64)&amp;"个","")</f>
        <v>23个</v>
      </c>
      <c r="C14" s="27" t="str">
        <f>IF(INT(ROUNDUP((64*C$5*($A14-1)/14),0)/(9*64))&gt;0,INT(ROUNDUP((64*C$5*($A14-1)/14),0)/(9*64))&amp;"行","")&amp;IF(INT(MOD(ROUNDUP((64*C$5*($A14-1)/14),0),(9*64))/64)&gt;0,INT(MOD(ROUNDUP((64*C$5*($A14-1)/14),0),(9*64))/64)&amp;"组","")&amp;IF(MOD(ROUNDUP((64*C$5*($A14-1)/14),0),64)&gt;0,MOD(ROUNDUP((64*C$5*($A14-1)/14),0),64)&amp;"个","")</f>
        <v>1组5个</v>
      </c>
      <c r="D14" s="27" t="str">
        <f>IF(INT(ROUNDUP((64*D$5*($A14-1)/14),0)/(9*64))&gt;0,INT(ROUNDUP((64*D$5*($A14-1)/14),0)/(9*64))&amp;"行","")&amp;IF(INT(MOD(ROUNDUP((64*D$5*($A14-1)/14),0),(9*64))/64)&gt;0,INT(MOD(ROUNDUP((64*D$5*($A14-1)/14),0),(9*64))/64)&amp;"组","")&amp;IF(MOD(ROUNDUP((64*D$5*($A14-1)/14),0),64)&gt;0,MOD(ROUNDUP((64*D$5*($A14-1)/14),0),64)&amp;"个","")</f>
        <v>1组51个</v>
      </c>
      <c r="E14" s="27" t="str">
        <f>IF(INT(ROUNDUP((64*E$5*($A14-1)/14),0)/(9*64))&gt;0,INT(ROUNDUP((64*E$5*($A14-1)/14),0)/(9*64))&amp;"行","")&amp;IF(INT(MOD(ROUNDUP((64*E$5*($A14-1)/14),0),(9*64))/64)&gt;0,INT(MOD(ROUNDUP((64*E$5*($A14-1)/14),0),(9*64))/64)&amp;"组","")&amp;IF(MOD(ROUNDUP((64*E$5*($A14-1)/14),0),64)&gt;0,MOD(ROUNDUP((64*E$5*($A14-1)/14),0),64)&amp;"个","")</f>
        <v>3组14个</v>
      </c>
      <c r="F14" s="27" t="str">
        <f>IF(INT(ROUNDUP((64*F$5*($A14-1)/14),0)/(9*64))&gt;0,INT(ROUNDUP((64*F$5*($A14-1)/14),0)/(9*64))&amp;"行","")&amp;IF(INT(MOD(ROUNDUP((64*F$5*($A14-1)/14),0),(9*64))/64)&gt;0,INT(MOD(ROUNDUP((64*F$5*($A14-1)/14),0),(9*64))/64)&amp;"组","")&amp;IF(MOD(ROUNDUP((64*F$5*($A14-1)/14),0),64)&gt;0,MOD(ROUNDUP((64*F$5*($A14-1)/14),0),64)&amp;"个","")</f>
        <v>1行42个</v>
      </c>
      <c r="G14" s="27" t="str">
        <f>IF(INT(ROUNDUP((64*G$5*($A14-1)/14),0)/(9*64))&gt;0,INT(ROUNDUP((64*G$5*($A14-1)/14),0)/(9*64))&amp;"行","")&amp;IF(INT(MOD(ROUNDUP((64*G$5*($A14-1)/14),0),(9*64))/64)&gt;0,INT(MOD(ROUNDUP((64*G$5*($A14-1)/14),0),(9*64))/64)&amp;"组","")&amp;IF(MOD(ROUNDUP((64*G$5*($A14-1)/14),0),64)&gt;0,MOD(ROUNDUP((64*G$5*($A14-1)/14),0),64)&amp;"个","")</f>
        <v>2行1组19个</v>
      </c>
      <c r="I14" s="27">
        <v>6</v>
      </c>
      <c r="J14" s="27" t="str">
        <f>IF(INT(ROUNDUP((16*J$5*($A14-1)/14),0)/(9*16))&gt;0,INT(ROUNDUP((16*J$5*($A14-1)/14),0)/(9*16))&amp;"行","")&amp;IF(INT(MOD(ROUNDUP((16*J$5*($A14-1)/14),0),(9*16))/16)&gt;0,INT(MOD(ROUNDUP((16*J$5*($A14-1)/14),0),(9*16))/16)&amp;"组","")&amp;IF(MOD(ROUNDUP((16*J$5*($A14-1)/14),0),16)&gt;0,MOD(ROUNDUP((16*J$5*($A14-1)/14),0),16)&amp;"个","")</f>
        <v>6个</v>
      </c>
      <c r="K14" s="27" t="str">
        <f>IF(INT(ROUNDUP((16*K$5*($A14-1)/14),0)/(9*16))&gt;0,INT(ROUNDUP((16*K$5*($A14-1)/14),0)/(9*16))&amp;"行","")&amp;IF(INT(MOD(ROUNDUP((16*K$5*($A14-1)/14),0),(9*16))/16)&gt;0,INT(MOD(ROUNDUP((16*K$5*($A14-1)/14),0),(9*16))/16)&amp;"组","")&amp;IF(MOD(ROUNDUP((16*K$5*($A14-1)/14),0),16)&gt;0,MOD(ROUNDUP((16*K$5*($A14-1)/14),0),16)&amp;"个","")</f>
        <v>1组2个</v>
      </c>
      <c r="L14" s="27" t="str">
        <f>IF(INT(ROUNDUP((16*L$5*($A14-1)/14),0)/(9*16))&gt;0,INT(ROUNDUP((16*L$5*($A14-1)/14),0)/(9*16))&amp;"行","")&amp;IF(INT(MOD(ROUNDUP((16*L$5*($A14-1)/14),0),(9*16))/16)&gt;0,INT(MOD(ROUNDUP((16*L$5*($A14-1)/14),0),(9*16))/16)&amp;"组","")&amp;IF(MOD(ROUNDUP((16*L$5*($A14-1)/14),0),16)&gt;0,MOD(ROUNDUP((16*L$5*($A14-1)/14),0),16)&amp;"个","")</f>
        <v>1组13个</v>
      </c>
      <c r="M14" s="27" t="str">
        <f>IF(INT(ROUNDUP((16*M$5*($A14-1)/14),0)/(9*16))&gt;0,INT(ROUNDUP((16*M$5*($A14-1)/14),0)/(9*16))&amp;"行","")&amp;IF(INT(MOD(ROUNDUP((16*M$5*($A14-1)/14),0),(9*16))/16)&gt;0,INT(MOD(ROUNDUP((16*M$5*($A14-1)/14),0),(9*16))/16)&amp;"组","")&amp;IF(MOD(ROUNDUP((16*M$5*($A14-1)/14),0),16)&gt;0,MOD(ROUNDUP((16*M$5*($A14-1)/14),0),16)&amp;"个","")</f>
        <v>3组4个</v>
      </c>
      <c r="N14" s="27" t="str">
        <f>IF(INT(ROUNDUP((16*N$5*($A14-1)/14),0)/(9*16))&gt;0,INT(ROUNDUP((16*N$5*($A14-1)/14),0)/(9*16))&amp;"行","")&amp;IF(INT(MOD(ROUNDUP((16*N$5*($A14-1)/14),0),(9*16))/16)&gt;0,INT(MOD(ROUNDUP((16*N$5*($A14-1)/14),0),(9*16))/16)&amp;"组","")&amp;IF(MOD(ROUNDUP((16*N$5*($A14-1)/14),0),16)&gt;0,MOD(ROUNDUP((16*N$5*($A14-1)/14),0),16)&amp;"个","")</f>
        <v>1行11个</v>
      </c>
      <c r="O14" s="27" t="str">
        <f>IF(INT(ROUNDUP((16*O$5*($A14-1)/14),0)/(9*16))&gt;0,INT(ROUNDUP((16*O$5*($A14-1)/14),0)/(9*16))&amp;"行","")&amp;IF(INT(MOD(ROUNDUP((16*O$5*($A14-1)/14),0),(9*16))/16)&gt;0,INT(MOD(ROUNDUP((16*O$5*($A14-1)/14),0),(9*16))/16)&amp;"组","")&amp;IF(MOD(ROUNDUP((16*O$5*($A14-1)/14),0),16)&gt;0,MOD(ROUNDUP((16*O$5*($A14-1)/14),0),16)&amp;"个","")</f>
        <v>2行1组5个</v>
      </c>
    </row>
    <row r="15" spans="1:15">
      <c r="A15" s="27">
        <v>7</v>
      </c>
      <c r="B15" s="27" t="str">
        <f>IF(INT(ROUNDUP((64*B$5*($A15-1)/14),0)/(9*64))&gt;0,INT(ROUNDUP((64*B$5*($A15-1)/14),0)/(9*64))&amp;"行","")&amp;IF(INT(MOD(ROUNDUP((64*B$5*($A15-1)/14),0),(9*64))/64)&gt;0,INT(MOD(ROUNDUP((64*B$5*($A15-1)/14),0),(9*64))/64)&amp;"组","")&amp;IF(MOD(ROUNDUP((64*B$5*($A15-1)/14),0),64)&gt;0,MOD(ROUNDUP((64*B$5*($A15-1)/14),0),64)&amp;"个","")</f>
        <v>28个</v>
      </c>
      <c r="C15" s="27" t="str">
        <f>IF(INT(ROUNDUP((64*C$5*($A15-1)/14),0)/(9*64))&gt;0,INT(ROUNDUP((64*C$5*($A15-1)/14),0)/(9*64))&amp;"行","")&amp;IF(INT(MOD(ROUNDUP((64*C$5*($A15-1)/14),0),(9*64))/64)&gt;0,INT(MOD(ROUNDUP((64*C$5*($A15-1)/14),0),(9*64))/64)&amp;"组","")&amp;IF(MOD(ROUNDUP((64*C$5*($A15-1)/14),0),64)&gt;0,MOD(ROUNDUP((64*C$5*($A15-1)/14),0),64)&amp;"个","")</f>
        <v>1组19个</v>
      </c>
      <c r="D15" s="27" t="str">
        <f>IF(INT(ROUNDUP((64*D$5*($A15-1)/14),0)/(9*64))&gt;0,INT(ROUNDUP((64*D$5*($A15-1)/14),0)/(9*64))&amp;"行","")&amp;IF(INT(MOD(ROUNDUP((64*D$5*($A15-1)/14),0),(9*64))/64)&gt;0,INT(MOD(ROUNDUP((64*D$5*($A15-1)/14),0),(9*64))/64)&amp;"组","")&amp;IF(MOD(ROUNDUP((64*D$5*($A15-1)/14),0),64)&gt;0,MOD(ROUNDUP((64*D$5*($A15-1)/14),0),64)&amp;"个","")</f>
        <v>2组10个</v>
      </c>
      <c r="E15" s="27" t="str">
        <f>IF(INT(ROUNDUP((64*E$5*($A15-1)/14),0)/(9*64))&gt;0,INT(ROUNDUP((64*E$5*($A15-1)/14),0)/(9*64))&amp;"行","")&amp;IF(INT(MOD(ROUNDUP((64*E$5*($A15-1)/14),0),(9*64))/64)&gt;0,INT(MOD(ROUNDUP((64*E$5*($A15-1)/14),0),(9*64))/64)&amp;"组","")&amp;IF(MOD(ROUNDUP((64*E$5*($A15-1)/14),0),64)&gt;0,MOD(ROUNDUP((64*E$5*($A15-1)/14),0),64)&amp;"个","")</f>
        <v>3组55个</v>
      </c>
      <c r="F15" s="27" t="str">
        <f>IF(INT(ROUNDUP((64*F$5*($A15-1)/14),0)/(9*64))&gt;0,INT(ROUNDUP((64*F$5*($A15-1)/14),0)/(9*64))&amp;"行","")&amp;IF(INT(MOD(ROUNDUP((64*F$5*($A15-1)/14),0),(9*64))/64)&gt;0,INT(MOD(ROUNDUP((64*F$5*($A15-1)/14),0),(9*64))/64)&amp;"组","")&amp;IF(MOD(ROUNDUP((64*F$5*($A15-1)/14),0),64)&gt;0,MOD(ROUNDUP((64*F$5*($A15-1)/14),0),64)&amp;"个","")</f>
        <v>1行2组37个</v>
      </c>
      <c r="G15" s="27" t="str">
        <f>IF(INT(ROUNDUP((64*G$5*($A15-1)/14),0)/(9*64))&gt;0,INT(ROUNDUP((64*G$5*($A15-1)/14),0)/(9*64))&amp;"行","")&amp;IF(INT(MOD(ROUNDUP((64*G$5*($A15-1)/14),0),(9*64))/64)&gt;0,INT(MOD(ROUNDUP((64*G$5*($A15-1)/14),0),(9*64))/64)&amp;"组","")&amp;IF(MOD(ROUNDUP((64*G$5*($A15-1)/14),0),64)&gt;0,MOD(ROUNDUP((64*G$5*($A15-1)/14),0),64)&amp;"个","")</f>
        <v>2行5组10个</v>
      </c>
      <c r="I15" s="27">
        <v>7</v>
      </c>
      <c r="J15" s="27" t="str">
        <f>IF(INT(ROUNDUP((16*J$5*($A15-1)/14),0)/(9*16))&gt;0,INT(ROUNDUP((16*J$5*($A15-1)/14),0)/(9*16))&amp;"行","")&amp;IF(INT(MOD(ROUNDUP((16*J$5*($A15-1)/14),0),(9*16))/16)&gt;0,INT(MOD(ROUNDUP((16*J$5*($A15-1)/14),0),(9*16))/16)&amp;"组","")&amp;IF(MOD(ROUNDUP((16*J$5*($A15-1)/14),0),16)&gt;0,MOD(ROUNDUP((16*J$5*($A15-1)/14),0),16)&amp;"个","")</f>
        <v>7个</v>
      </c>
      <c r="K15" s="27" t="str">
        <f>IF(INT(ROUNDUP((16*K$5*($A15-1)/14),0)/(9*16))&gt;0,INT(ROUNDUP((16*K$5*($A15-1)/14),0)/(9*16))&amp;"行","")&amp;IF(INT(MOD(ROUNDUP((16*K$5*($A15-1)/14),0),(9*16))/16)&gt;0,INT(MOD(ROUNDUP((16*K$5*($A15-1)/14),0),(9*16))/16)&amp;"组","")&amp;IF(MOD(ROUNDUP((16*K$5*($A15-1)/14),0),16)&gt;0,MOD(ROUNDUP((16*K$5*($A15-1)/14),0),16)&amp;"个","")</f>
        <v>1组5个</v>
      </c>
      <c r="L15" s="27" t="str">
        <f>IF(INT(ROUNDUP((16*L$5*($A15-1)/14),0)/(9*16))&gt;0,INT(ROUNDUP((16*L$5*($A15-1)/14),0)/(9*16))&amp;"行","")&amp;IF(INT(MOD(ROUNDUP((16*L$5*($A15-1)/14),0),(9*16))/16)&gt;0,INT(MOD(ROUNDUP((16*L$5*($A15-1)/14),0),(9*16))/16)&amp;"组","")&amp;IF(MOD(ROUNDUP((16*L$5*($A15-1)/14),0),16)&gt;0,MOD(ROUNDUP((16*L$5*($A15-1)/14),0),16)&amp;"个","")</f>
        <v>2组3个</v>
      </c>
      <c r="M15" s="27" t="str">
        <f>IF(INT(ROUNDUP((16*M$5*($A15-1)/14),0)/(9*16))&gt;0,INT(ROUNDUP((16*M$5*($A15-1)/14),0)/(9*16))&amp;"行","")&amp;IF(INT(MOD(ROUNDUP((16*M$5*($A15-1)/14),0),(9*16))/16)&gt;0,INT(MOD(ROUNDUP((16*M$5*($A15-1)/14),0),(9*16))/16)&amp;"组","")&amp;IF(MOD(ROUNDUP((16*M$5*($A15-1)/14),0),16)&gt;0,MOD(ROUNDUP((16*M$5*($A15-1)/14),0),16)&amp;"个","")</f>
        <v>3组14个</v>
      </c>
      <c r="N15" s="27" t="str">
        <f>IF(INT(ROUNDUP((16*N$5*($A15-1)/14),0)/(9*16))&gt;0,INT(ROUNDUP((16*N$5*($A15-1)/14),0)/(9*16))&amp;"行","")&amp;IF(INT(MOD(ROUNDUP((16*N$5*($A15-1)/14),0),(9*16))/16)&gt;0,INT(MOD(ROUNDUP((16*N$5*($A15-1)/14),0),(9*16))/16)&amp;"组","")&amp;IF(MOD(ROUNDUP((16*N$5*($A15-1)/14),0),16)&gt;0,MOD(ROUNDUP((16*N$5*($A15-1)/14),0),16)&amp;"个","")</f>
        <v>1行2组10个</v>
      </c>
      <c r="O15" s="27" t="str">
        <f>IF(INT(ROUNDUP((16*O$5*($A15-1)/14),0)/(9*16))&gt;0,INT(ROUNDUP((16*O$5*($A15-1)/14),0)/(9*16))&amp;"行","")&amp;IF(INT(MOD(ROUNDUP((16*O$5*($A15-1)/14),0),(9*16))/16)&gt;0,INT(MOD(ROUNDUP((16*O$5*($A15-1)/14),0),(9*16))/16)&amp;"组","")&amp;IF(MOD(ROUNDUP((16*O$5*($A15-1)/14),0),16)&gt;0,MOD(ROUNDUP((16*O$5*($A15-1)/14),0),16)&amp;"个","")</f>
        <v>2行5组3个</v>
      </c>
    </row>
    <row r="16" spans="1:15">
      <c r="A16" s="34">
        <v>8</v>
      </c>
      <c r="B16" s="34" t="str">
        <f>IF(INT(ROUNDUP((64*B$5*($A16-1)/14),0)/(9*64))&gt;0,INT(ROUNDUP((64*B$5*($A16-1)/14),0)/(9*64))&amp;"行","")&amp;IF(INT(MOD(ROUNDUP((64*B$5*($A16-1)/14),0),(9*64))/64)&gt;0,INT(MOD(ROUNDUP((64*B$5*($A16-1)/14),0),(9*64))/64)&amp;"组","")&amp;IF(MOD(ROUNDUP((64*B$5*($A16-1)/14),0),64)&gt;0,MOD(ROUNDUP((64*B$5*($A16-1)/14),0),64)&amp;"个","")</f>
        <v>32个</v>
      </c>
      <c r="C16" s="34" t="str">
        <f>IF(INT(ROUNDUP((64*C$5*($A16-1)/14),0)/(9*64))&gt;0,INT(ROUNDUP((64*C$5*($A16-1)/14),0)/(9*64))&amp;"行","")&amp;IF(INT(MOD(ROUNDUP((64*C$5*($A16-1)/14),0),(9*64))/64)&gt;0,INT(MOD(ROUNDUP((64*C$5*($A16-1)/14),0),(9*64))/64)&amp;"组","")&amp;IF(MOD(ROUNDUP((64*C$5*($A16-1)/14),0),64)&gt;0,MOD(ROUNDUP((64*C$5*($A16-1)/14),0),64)&amp;"个","")</f>
        <v>1组32个</v>
      </c>
      <c r="D16" s="34" t="str">
        <f>IF(INT(ROUNDUP((64*D$5*($A16-1)/14),0)/(9*64))&gt;0,INT(ROUNDUP((64*D$5*($A16-1)/14),0)/(9*64))&amp;"行","")&amp;IF(INT(MOD(ROUNDUP((64*D$5*($A16-1)/14),0),(9*64))/64)&gt;0,INT(MOD(ROUNDUP((64*D$5*($A16-1)/14),0),(9*64))/64)&amp;"组","")&amp;IF(MOD(ROUNDUP((64*D$5*($A16-1)/14),0),64)&gt;0,MOD(ROUNDUP((64*D$5*($A16-1)/14),0),64)&amp;"个","")</f>
        <v>2组32个</v>
      </c>
      <c r="E16" s="34" t="str">
        <f>IF(INT(ROUNDUP((64*E$5*($A16-1)/14),0)/(9*64))&gt;0,INT(ROUNDUP((64*E$5*($A16-1)/14),0)/(9*64))&amp;"行","")&amp;IF(INT(MOD(ROUNDUP((64*E$5*($A16-1)/14),0),(9*64))/64)&gt;0,INT(MOD(ROUNDUP((64*E$5*($A16-1)/14),0),(9*64))/64)&amp;"组","")&amp;IF(MOD(ROUNDUP((64*E$5*($A16-1)/14),0),64)&gt;0,MOD(ROUNDUP((64*E$5*($A16-1)/14),0),64)&amp;"个","")</f>
        <v>4组32个</v>
      </c>
      <c r="F16" s="34" t="str">
        <f>IF(INT(ROUNDUP((64*F$5*($A16-1)/14),0)/(9*64))&gt;0,INT(ROUNDUP((64*F$5*($A16-1)/14),0)/(9*64))&amp;"行","")&amp;IF(INT(MOD(ROUNDUP((64*F$5*($A16-1)/14),0),(9*64))/64)&gt;0,INT(MOD(ROUNDUP((64*F$5*($A16-1)/14),0),(9*64))/64)&amp;"组","")&amp;IF(MOD(ROUNDUP((64*F$5*($A16-1)/14),0),64)&gt;0,MOD(ROUNDUP((64*F$5*($A16-1)/14),0),64)&amp;"个","")</f>
        <v>1行4组32个</v>
      </c>
      <c r="G16" s="34" t="str">
        <f>IF(INT(ROUNDUP((64*G$5*($A16-1)/14),0)/(9*64))&gt;0,INT(ROUNDUP((64*G$5*($A16-1)/14),0)/(9*64))&amp;"行","")&amp;IF(INT(MOD(ROUNDUP((64*G$5*($A16-1)/14),0),(9*64))/64)&gt;0,INT(MOD(ROUNDUP((64*G$5*($A16-1)/14),0),(9*64))/64)&amp;"组","")&amp;IF(MOD(ROUNDUP((64*G$5*($A16-1)/14),0),64)&gt;0,MOD(ROUNDUP((64*G$5*($A16-1)/14),0),64)&amp;"个","")</f>
        <v>3行</v>
      </c>
      <c r="I16" s="34">
        <v>8</v>
      </c>
      <c r="J16" s="34" t="str">
        <f>IF(INT(ROUNDUP((16*J$5*($A16-1)/14),0)/(9*16))&gt;0,INT(ROUNDUP((16*J$5*($A16-1)/14),0)/(9*16))&amp;"行","")&amp;IF(INT(MOD(ROUNDUP((16*J$5*($A16-1)/14),0),(9*16))/16)&gt;0,INT(MOD(ROUNDUP((16*J$5*($A16-1)/14),0),(9*16))/16)&amp;"组","")&amp;IF(MOD(ROUNDUP((16*J$5*($A16-1)/14),0),16)&gt;0,MOD(ROUNDUP((16*J$5*($A16-1)/14),0),16)&amp;"个","")</f>
        <v>8个</v>
      </c>
      <c r="K16" s="34" t="str">
        <f>IF(INT(ROUNDUP((16*K$5*($A16-1)/14),0)/(9*16))&gt;0,INT(ROUNDUP((16*K$5*($A16-1)/14),0)/(9*16))&amp;"行","")&amp;IF(INT(MOD(ROUNDUP((16*K$5*($A16-1)/14),0),(9*16))/16)&gt;0,INT(MOD(ROUNDUP((16*K$5*($A16-1)/14),0),(9*16))/16)&amp;"组","")&amp;IF(MOD(ROUNDUP((16*K$5*($A16-1)/14),0),16)&gt;0,MOD(ROUNDUP((16*K$5*($A16-1)/14),0),16)&amp;"个","")</f>
        <v>1组8个</v>
      </c>
      <c r="L16" s="34" t="str">
        <f>IF(INT(ROUNDUP((16*L$5*($A16-1)/14),0)/(9*16))&gt;0,INT(ROUNDUP((16*L$5*($A16-1)/14),0)/(9*16))&amp;"行","")&amp;IF(INT(MOD(ROUNDUP((16*L$5*($A16-1)/14),0),(9*16))/16)&gt;0,INT(MOD(ROUNDUP((16*L$5*($A16-1)/14),0),(9*16))/16)&amp;"组","")&amp;IF(MOD(ROUNDUP((16*L$5*($A16-1)/14),0),16)&gt;0,MOD(ROUNDUP((16*L$5*($A16-1)/14),0),16)&amp;"个","")</f>
        <v>2组8个</v>
      </c>
      <c r="M16" s="34" t="str">
        <f>IF(INT(ROUNDUP((16*M$5*($A16-1)/14),0)/(9*16))&gt;0,INT(ROUNDUP((16*M$5*($A16-1)/14),0)/(9*16))&amp;"行","")&amp;IF(INT(MOD(ROUNDUP((16*M$5*($A16-1)/14),0),(9*16))/16)&gt;0,INT(MOD(ROUNDUP((16*M$5*($A16-1)/14),0),(9*16))/16)&amp;"组","")&amp;IF(MOD(ROUNDUP((16*M$5*($A16-1)/14),0),16)&gt;0,MOD(ROUNDUP((16*M$5*($A16-1)/14),0),16)&amp;"个","")</f>
        <v>4组8个</v>
      </c>
      <c r="N16" s="34" t="str">
        <f>IF(INT(ROUNDUP((16*N$5*($A16-1)/14),0)/(9*16))&gt;0,INT(ROUNDUP((16*N$5*($A16-1)/14),0)/(9*16))&amp;"行","")&amp;IF(INT(MOD(ROUNDUP((16*N$5*($A16-1)/14),0),(9*16))/16)&gt;0,INT(MOD(ROUNDUP((16*N$5*($A16-1)/14),0),(9*16))/16)&amp;"组","")&amp;IF(MOD(ROUNDUP((16*N$5*($A16-1)/14),0),16)&gt;0,MOD(ROUNDUP((16*N$5*($A16-1)/14),0),16)&amp;"个","")</f>
        <v>1行4组8个</v>
      </c>
      <c r="O16" s="34" t="str">
        <f>IF(INT(ROUNDUP((16*O$5*($A16-1)/14),0)/(9*16))&gt;0,INT(ROUNDUP((16*O$5*($A16-1)/14),0)/(9*16))&amp;"行","")&amp;IF(INT(MOD(ROUNDUP((16*O$5*($A16-1)/14),0),(9*16))/16)&gt;0,INT(MOD(ROUNDUP((16*O$5*($A16-1)/14),0),(9*16))/16)&amp;"组","")&amp;IF(MOD(ROUNDUP((16*O$5*($A16-1)/14),0),16)&gt;0,MOD(ROUNDUP((16*O$5*($A16-1)/14),0),16)&amp;"个","")</f>
        <v>3行</v>
      </c>
    </row>
    <row r="17" spans="1:15">
      <c r="A17" s="29">
        <v>9</v>
      </c>
      <c r="B17" s="29" t="str">
        <f>IF(INT(ROUNDUP((64*B$5*($A17-1)/14),0)/(9*64))&gt;0,INT(ROUNDUP((64*B$5*($A17-1)/14),0)/(9*64))&amp;"行","")&amp;IF(INT(MOD(ROUNDUP((64*B$5*($A17-1)/14),0),(9*64))/64)&gt;0,INT(MOD(ROUNDUP((64*B$5*($A17-1)/14),0),(9*64))/64)&amp;"组","")&amp;IF(MOD(ROUNDUP((64*B$5*($A17-1)/14),0),64)&gt;0,MOD(ROUNDUP((64*B$5*($A17-1)/14),0),64)&amp;"个","")</f>
        <v>37个</v>
      </c>
      <c r="C17" s="29" t="str">
        <f>IF(INT(ROUNDUP((64*C$5*($A17-1)/14),0)/(9*64))&gt;0,INT(ROUNDUP((64*C$5*($A17-1)/14),0)/(9*64))&amp;"行","")&amp;IF(INT(MOD(ROUNDUP((64*C$5*($A17-1)/14),0),(9*64))/64)&gt;0,INT(MOD(ROUNDUP((64*C$5*($A17-1)/14),0),(9*64))/64)&amp;"组","")&amp;IF(MOD(ROUNDUP((64*C$5*($A17-1)/14),0),64)&gt;0,MOD(ROUNDUP((64*C$5*($A17-1)/14),0),64)&amp;"个","")</f>
        <v>1组46个</v>
      </c>
      <c r="D17" s="29" t="str">
        <f>IF(INT(ROUNDUP((64*D$5*($A17-1)/14),0)/(9*64))&gt;0,INT(ROUNDUP((64*D$5*($A17-1)/14),0)/(9*64))&amp;"行","")&amp;IF(INT(MOD(ROUNDUP((64*D$5*($A17-1)/14),0),(9*64))/64)&gt;0,INT(MOD(ROUNDUP((64*D$5*($A17-1)/14),0),(9*64))/64)&amp;"组","")&amp;IF(MOD(ROUNDUP((64*D$5*($A17-1)/14),0),64)&gt;0,MOD(ROUNDUP((64*D$5*($A17-1)/14),0),64)&amp;"个","")</f>
        <v>2组55个</v>
      </c>
      <c r="E17" s="29" t="str">
        <f>IF(INT(ROUNDUP((64*E$5*($A17-1)/14),0)/(9*64))&gt;0,INT(ROUNDUP((64*E$5*($A17-1)/14),0)/(9*64))&amp;"行","")&amp;IF(INT(MOD(ROUNDUP((64*E$5*($A17-1)/14),0),(9*64))/64)&gt;0,INT(MOD(ROUNDUP((64*E$5*($A17-1)/14),0),(9*64))/64)&amp;"组","")&amp;IF(MOD(ROUNDUP((64*E$5*($A17-1)/14),0),64)&gt;0,MOD(ROUNDUP((64*E$5*($A17-1)/14),0),64)&amp;"个","")</f>
        <v>5组10个</v>
      </c>
      <c r="F17" s="29" t="str">
        <f>IF(INT(ROUNDUP((64*F$5*($A17-1)/14),0)/(9*64))&gt;0,INT(ROUNDUP((64*F$5*($A17-1)/14),0)/(9*64))&amp;"行","")&amp;IF(INT(MOD(ROUNDUP((64*F$5*($A17-1)/14),0),(9*64))/64)&gt;0,INT(MOD(ROUNDUP((64*F$5*($A17-1)/14),0),(9*64))/64)&amp;"组","")&amp;IF(MOD(ROUNDUP((64*F$5*($A17-1)/14),0),64)&gt;0,MOD(ROUNDUP((64*F$5*($A17-1)/14),0),64)&amp;"个","")</f>
        <v>1行6组28个</v>
      </c>
      <c r="G17" s="29" t="str">
        <f>IF(INT(ROUNDUP((64*G$5*($A17-1)/14),0)/(9*64))&gt;0,INT(ROUNDUP((64*G$5*($A17-1)/14),0)/(9*64))&amp;"行","")&amp;IF(INT(MOD(ROUNDUP((64*G$5*($A17-1)/14),0),(9*64))/64)&gt;0,INT(MOD(ROUNDUP((64*G$5*($A17-1)/14),0),(9*64))/64)&amp;"组","")&amp;IF(MOD(ROUNDUP((64*G$5*($A17-1)/14),0),64)&gt;0,MOD(ROUNDUP((64*G$5*($A17-1)/14),0),64)&amp;"个","")</f>
        <v>3行3组55个</v>
      </c>
      <c r="I17" s="29">
        <v>9</v>
      </c>
      <c r="J17" s="29" t="str">
        <f>IF(INT(ROUNDUP((16*J$5*($A17-1)/14),0)/(9*16))&gt;0,INT(ROUNDUP((16*J$5*($A17-1)/14),0)/(9*16))&amp;"行","")&amp;IF(INT(MOD(ROUNDUP((16*J$5*($A17-1)/14),0),(9*16))/16)&gt;0,INT(MOD(ROUNDUP((16*J$5*($A17-1)/14),0),(9*16))/16)&amp;"组","")&amp;IF(MOD(ROUNDUP((16*J$5*($A17-1)/14),0),16)&gt;0,MOD(ROUNDUP((16*J$5*($A17-1)/14),0),16)&amp;"个","")</f>
        <v>10个</v>
      </c>
      <c r="K17" s="29" t="str">
        <f>IF(INT(ROUNDUP((16*K$5*($A17-1)/14),0)/(9*16))&gt;0,INT(ROUNDUP((16*K$5*($A17-1)/14),0)/(9*16))&amp;"行","")&amp;IF(INT(MOD(ROUNDUP((16*K$5*($A17-1)/14),0),(9*16))/16)&gt;0,INT(MOD(ROUNDUP((16*K$5*($A17-1)/14),0),(9*16))/16)&amp;"组","")&amp;IF(MOD(ROUNDUP((16*K$5*($A17-1)/14),0),16)&gt;0,MOD(ROUNDUP((16*K$5*($A17-1)/14),0),16)&amp;"个","")</f>
        <v>1组12个</v>
      </c>
      <c r="L17" s="29" t="str">
        <f>IF(INT(ROUNDUP((16*L$5*($A17-1)/14),0)/(9*16))&gt;0,INT(ROUNDUP((16*L$5*($A17-1)/14),0)/(9*16))&amp;"行","")&amp;IF(INT(MOD(ROUNDUP((16*L$5*($A17-1)/14),0),(9*16))/16)&gt;0,INT(MOD(ROUNDUP((16*L$5*($A17-1)/14),0),(9*16))/16)&amp;"组","")&amp;IF(MOD(ROUNDUP((16*L$5*($A17-1)/14),0),16)&gt;0,MOD(ROUNDUP((16*L$5*($A17-1)/14),0),16)&amp;"个","")</f>
        <v>2组14个</v>
      </c>
      <c r="M17" s="29" t="str">
        <f>IF(INT(ROUNDUP((16*M$5*($A17-1)/14),0)/(9*16))&gt;0,INT(ROUNDUP((16*M$5*($A17-1)/14),0)/(9*16))&amp;"行","")&amp;IF(INT(MOD(ROUNDUP((16*M$5*($A17-1)/14),0),(9*16))/16)&gt;0,INT(MOD(ROUNDUP((16*M$5*($A17-1)/14),0),(9*16))/16)&amp;"组","")&amp;IF(MOD(ROUNDUP((16*M$5*($A17-1)/14),0),16)&gt;0,MOD(ROUNDUP((16*M$5*($A17-1)/14),0),16)&amp;"个","")</f>
        <v>5组3个</v>
      </c>
      <c r="N17" s="29" t="str">
        <f>IF(INT(ROUNDUP((16*N$5*($A17-1)/14),0)/(9*16))&gt;0,INT(ROUNDUP((16*N$5*($A17-1)/14),0)/(9*16))&amp;"行","")&amp;IF(INT(MOD(ROUNDUP((16*N$5*($A17-1)/14),0),(9*16))/16)&gt;0,INT(MOD(ROUNDUP((16*N$5*($A17-1)/14),0),(9*16))/16)&amp;"组","")&amp;IF(MOD(ROUNDUP((16*N$5*($A17-1)/14),0),16)&gt;0,MOD(ROUNDUP((16*N$5*($A17-1)/14),0),16)&amp;"个","")</f>
        <v>1行6组7个</v>
      </c>
      <c r="O17" s="29" t="str">
        <f>IF(INT(ROUNDUP((16*O$5*($A17-1)/14),0)/(9*16))&gt;0,INT(ROUNDUP((16*O$5*($A17-1)/14),0)/(9*16))&amp;"行","")&amp;IF(INT(MOD(ROUNDUP((16*O$5*($A17-1)/14),0),(9*16))/16)&gt;0,INT(MOD(ROUNDUP((16*O$5*($A17-1)/14),0),(9*16))/16)&amp;"组","")&amp;IF(MOD(ROUNDUP((16*O$5*($A17-1)/14),0),16)&gt;0,MOD(ROUNDUP((16*O$5*($A17-1)/14),0),16)&amp;"个","")</f>
        <v>3行3组14个</v>
      </c>
    </row>
    <row r="18" spans="1:15">
      <c r="A18" s="29">
        <v>10</v>
      </c>
      <c r="B18" s="29" t="str">
        <f>IF(INT(ROUNDUP((64*B$5*($A18-1)/14),0)/(9*64))&gt;0,INT(ROUNDUP((64*B$5*($A18-1)/14),0)/(9*64))&amp;"行","")&amp;IF(INT(MOD(ROUNDUP((64*B$5*($A18-1)/14),0),(9*64))/64)&gt;0,INT(MOD(ROUNDUP((64*B$5*($A18-1)/14),0),(9*64))/64)&amp;"组","")&amp;IF(MOD(ROUNDUP((64*B$5*($A18-1)/14),0),64)&gt;0,MOD(ROUNDUP((64*B$5*($A18-1)/14),0),64)&amp;"个","")</f>
        <v>42个</v>
      </c>
      <c r="C18" s="29" t="str">
        <f>IF(INT(ROUNDUP((64*C$5*($A18-1)/14),0)/(9*64))&gt;0,INT(ROUNDUP((64*C$5*($A18-1)/14),0)/(9*64))&amp;"行","")&amp;IF(INT(MOD(ROUNDUP((64*C$5*($A18-1)/14),0),(9*64))/64)&gt;0,INT(MOD(ROUNDUP((64*C$5*($A18-1)/14),0),(9*64))/64)&amp;"组","")&amp;IF(MOD(ROUNDUP((64*C$5*($A18-1)/14),0),64)&gt;0,MOD(ROUNDUP((64*C$5*($A18-1)/14),0),64)&amp;"个","")</f>
        <v>1组60个</v>
      </c>
      <c r="D18" s="29" t="str">
        <f>IF(INT(ROUNDUP((64*D$5*($A18-1)/14),0)/(9*64))&gt;0,INT(ROUNDUP((64*D$5*($A18-1)/14),0)/(9*64))&amp;"行","")&amp;IF(INT(MOD(ROUNDUP((64*D$5*($A18-1)/14),0),(9*64))/64)&gt;0,INT(MOD(ROUNDUP((64*D$5*($A18-1)/14),0),(9*64))/64)&amp;"组","")&amp;IF(MOD(ROUNDUP((64*D$5*($A18-1)/14),0),64)&gt;0,MOD(ROUNDUP((64*D$5*($A18-1)/14),0),64)&amp;"个","")</f>
        <v>3组14个</v>
      </c>
      <c r="E18" s="29" t="str">
        <f>IF(INT(ROUNDUP((64*E$5*($A18-1)/14),0)/(9*64))&gt;0,INT(ROUNDUP((64*E$5*($A18-1)/14),0)/(9*64))&amp;"行","")&amp;IF(INT(MOD(ROUNDUP((64*E$5*($A18-1)/14),0),(9*64))/64)&gt;0,INT(MOD(ROUNDUP((64*E$5*($A18-1)/14),0),(9*64))/64)&amp;"组","")&amp;IF(MOD(ROUNDUP((64*E$5*($A18-1)/14),0),64)&gt;0,MOD(ROUNDUP((64*E$5*($A18-1)/14),0),64)&amp;"个","")</f>
        <v>5组51个</v>
      </c>
      <c r="F18" s="29" t="str">
        <f>IF(INT(ROUNDUP((64*F$5*($A18-1)/14),0)/(9*64))&gt;0,INT(ROUNDUP((64*F$5*($A18-1)/14),0)/(9*64))&amp;"行","")&amp;IF(INT(MOD(ROUNDUP((64*F$5*($A18-1)/14),0),(9*64))/64)&gt;0,INT(MOD(ROUNDUP((64*F$5*($A18-1)/14),0),(9*64))/64)&amp;"组","")&amp;IF(MOD(ROUNDUP((64*F$5*($A18-1)/14),0),64)&gt;0,MOD(ROUNDUP((64*F$5*($A18-1)/14),0),64)&amp;"个","")</f>
        <v>1行8组23个</v>
      </c>
      <c r="G18" s="29" t="str">
        <f>IF(INT(ROUNDUP((64*G$5*($A18-1)/14),0)/(9*64))&gt;0,INT(ROUNDUP((64*G$5*($A18-1)/14),0)/(9*64))&amp;"行","")&amp;IF(INT(MOD(ROUNDUP((64*G$5*($A18-1)/14),0),(9*64))/64)&gt;0,INT(MOD(ROUNDUP((64*G$5*($A18-1)/14),0),(9*64))/64)&amp;"组","")&amp;IF(MOD(ROUNDUP((64*G$5*($A18-1)/14),0),64)&gt;0,MOD(ROUNDUP((64*G$5*($A18-1)/14),0),64)&amp;"个","")</f>
        <v>3行7组46个</v>
      </c>
      <c r="I18" s="29">
        <v>10</v>
      </c>
      <c r="J18" s="29" t="str">
        <f>IF(INT(ROUNDUP((16*J$5*($A18-1)/14),0)/(9*16))&gt;0,INT(ROUNDUP((16*J$5*($A18-1)/14),0)/(9*16))&amp;"行","")&amp;IF(INT(MOD(ROUNDUP((16*J$5*($A18-1)/14),0),(9*16))/16)&gt;0,INT(MOD(ROUNDUP((16*J$5*($A18-1)/14),0),(9*16))/16)&amp;"组","")&amp;IF(MOD(ROUNDUP((16*J$5*($A18-1)/14),0),16)&gt;0,MOD(ROUNDUP((16*J$5*($A18-1)/14),0),16)&amp;"个","")</f>
        <v>11个</v>
      </c>
      <c r="K18" s="29" t="str">
        <f>IF(INT(ROUNDUP((16*K$5*($A18-1)/14),0)/(9*16))&gt;0,INT(ROUNDUP((16*K$5*($A18-1)/14),0)/(9*16))&amp;"行","")&amp;IF(INT(MOD(ROUNDUP((16*K$5*($A18-1)/14),0),(9*16))/16)&gt;0,INT(MOD(ROUNDUP((16*K$5*($A18-1)/14),0),(9*16))/16)&amp;"组","")&amp;IF(MOD(ROUNDUP((16*K$5*($A18-1)/14),0),16)&gt;0,MOD(ROUNDUP((16*K$5*($A18-1)/14),0),16)&amp;"个","")</f>
        <v>1组15个</v>
      </c>
      <c r="L18" s="29" t="str">
        <f>IF(INT(ROUNDUP((16*L$5*($A18-1)/14),0)/(9*16))&gt;0,INT(ROUNDUP((16*L$5*($A18-1)/14),0)/(9*16))&amp;"行","")&amp;IF(INT(MOD(ROUNDUP((16*L$5*($A18-1)/14),0),(9*16))/16)&gt;0,INT(MOD(ROUNDUP((16*L$5*($A18-1)/14),0),(9*16))/16)&amp;"组","")&amp;IF(MOD(ROUNDUP((16*L$5*($A18-1)/14),0),16)&gt;0,MOD(ROUNDUP((16*L$5*($A18-1)/14),0),16)&amp;"个","")</f>
        <v>3组4个</v>
      </c>
      <c r="M18" s="29" t="str">
        <f>IF(INT(ROUNDUP((16*M$5*($A18-1)/14),0)/(9*16))&gt;0,INT(ROUNDUP((16*M$5*($A18-1)/14),0)/(9*16))&amp;"行","")&amp;IF(INT(MOD(ROUNDUP((16*M$5*($A18-1)/14),0),(9*16))/16)&gt;0,INT(MOD(ROUNDUP((16*M$5*($A18-1)/14),0),(9*16))/16)&amp;"组","")&amp;IF(MOD(ROUNDUP((16*M$5*($A18-1)/14),0),16)&gt;0,MOD(ROUNDUP((16*M$5*($A18-1)/14),0),16)&amp;"个","")</f>
        <v>5组13个</v>
      </c>
      <c r="N18" s="29" t="str">
        <f>IF(INT(ROUNDUP((16*N$5*($A18-1)/14),0)/(9*16))&gt;0,INT(ROUNDUP((16*N$5*($A18-1)/14),0)/(9*16))&amp;"行","")&amp;IF(INT(MOD(ROUNDUP((16*N$5*($A18-1)/14),0),(9*16))/16)&gt;0,INT(MOD(ROUNDUP((16*N$5*($A18-1)/14),0),(9*16))/16)&amp;"组","")&amp;IF(MOD(ROUNDUP((16*N$5*($A18-1)/14),0),16)&gt;0,MOD(ROUNDUP((16*N$5*($A18-1)/14),0),16)&amp;"个","")</f>
        <v>1行8组6个</v>
      </c>
      <c r="O18" s="29" t="str">
        <f>IF(INT(ROUNDUP((16*O$5*($A18-1)/14),0)/(9*16))&gt;0,INT(ROUNDUP((16*O$5*($A18-1)/14),0)/(9*16))&amp;"行","")&amp;IF(INT(MOD(ROUNDUP((16*O$5*($A18-1)/14),0),(9*16))/16)&gt;0,INT(MOD(ROUNDUP((16*O$5*($A18-1)/14),0),(9*16))/16)&amp;"组","")&amp;IF(MOD(ROUNDUP((16*O$5*($A18-1)/14),0),16)&gt;0,MOD(ROUNDUP((16*O$5*($A18-1)/14),0),16)&amp;"个","")</f>
        <v>3行7组12个</v>
      </c>
    </row>
    <row r="19" spans="1:15">
      <c r="A19" s="30">
        <v>11</v>
      </c>
      <c r="B19" s="30" t="str">
        <f>IF(INT(ROUNDUP((64*B$5*($A19-1)/14),0)/(9*64))&gt;0,INT(ROUNDUP((64*B$5*($A19-1)/14),0)/(9*64))&amp;"行","")&amp;IF(INT(MOD(ROUNDUP((64*B$5*($A19-1)/14),0),(9*64))/64)&gt;0,INT(MOD(ROUNDUP((64*B$5*($A19-1)/14),0),(9*64))/64)&amp;"组","")&amp;IF(MOD(ROUNDUP((64*B$5*($A19-1)/14),0),64)&gt;0,MOD(ROUNDUP((64*B$5*($A19-1)/14),0),64)&amp;"个","")</f>
        <v>46个</v>
      </c>
      <c r="C19" s="30" t="str">
        <f>IF(INT(ROUNDUP((64*C$5*($A19-1)/14),0)/(9*64))&gt;0,INT(ROUNDUP((64*C$5*($A19-1)/14),0)/(9*64))&amp;"行","")&amp;IF(INT(MOD(ROUNDUP((64*C$5*($A19-1)/14),0),(9*64))/64)&gt;0,INT(MOD(ROUNDUP((64*C$5*($A19-1)/14),0),(9*64))/64)&amp;"组","")&amp;IF(MOD(ROUNDUP((64*C$5*($A19-1)/14),0),64)&gt;0,MOD(ROUNDUP((64*C$5*($A19-1)/14),0),64)&amp;"个","")</f>
        <v>2组10个</v>
      </c>
      <c r="D19" s="30" t="str">
        <f>IF(INT(ROUNDUP((64*D$5*($A19-1)/14),0)/(9*64))&gt;0,INT(ROUNDUP((64*D$5*($A19-1)/14),0)/(9*64))&amp;"行","")&amp;IF(INT(MOD(ROUNDUP((64*D$5*($A19-1)/14),0),(9*64))/64)&gt;0,INT(MOD(ROUNDUP((64*D$5*($A19-1)/14),0),(9*64))/64)&amp;"组","")&amp;IF(MOD(ROUNDUP((64*D$5*($A19-1)/14),0),64)&gt;0,MOD(ROUNDUP((64*D$5*($A19-1)/14),0),64)&amp;"个","")</f>
        <v>3组37个</v>
      </c>
      <c r="E19" s="30" t="str">
        <f>IF(INT(ROUNDUP((64*E$5*($A19-1)/14),0)/(9*64))&gt;0,INT(ROUNDUP((64*E$5*($A19-1)/14),0)/(9*64))&amp;"行","")&amp;IF(INT(MOD(ROUNDUP((64*E$5*($A19-1)/14),0),(9*64))/64)&gt;0,INT(MOD(ROUNDUP((64*E$5*($A19-1)/14),0),(9*64))/64)&amp;"组","")&amp;IF(MOD(ROUNDUP((64*E$5*($A19-1)/14),0),64)&gt;0,MOD(ROUNDUP((64*E$5*($A19-1)/14),0),64)&amp;"个","")</f>
        <v>6组28个</v>
      </c>
      <c r="F19" s="30" t="str">
        <f>IF(INT(ROUNDUP((64*F$5*($A19-1)/14),0)/(9*64))&gt;0,INT(ROUNDUP((64*F$5*($A19-1)/14),0)/(9*64))&amp;"行","")&amp;IF(INT(MOD(ROUNDUP((64*F$5*($A19-1)/14),0),(9*64))/64)&gt;0,INT(MOD(ROUNDUP((64*F$5*($A19-1)/14),0),(9*64))/64)&amp;"组","")&amp;IF(MOD(ROUNDUP((64*F$5*($A19-1)/14),0),64)&gt;0,MOD(ROUNDUP((64*F$5*($A19-1)/14),0),64)&amp;"个","")</f>
        <v>2行1组19个</v>
      </c>
      <c r="G19" s="30" t="str">
        <f>IF(INT(ROUNDUP((64*G$5*($A19-1)/14),0)/(9*64))&gt;0,INT(ROUNDUP((64*G$5*($A19-1)/14),0)/(9*64))&amp;"行","")&amp;IF(INT(MOD(ROUNDUP((64*G$5*($A19-1)/14),0),(9*64))/64)&gt;0,INT(MOD(ROUNDUP((64*G$5*($A19-1)/14),0),(9*64))/64)&amp;"组","")&amp;IF(MOD(ROUNDUP((64*G$5*($A19-1)/14),0),64)&gt;0,MOD(ROUNDUP((64*G$5*($A19-1)/14),0),64)&amp;"个","")</f>
        <v>4行2组37个</v>
      </c>
      <c r="I19" s="30">
        <v>11</v>
      </c>
      <c r="J19" s="30" t="str">
        <f>IF(INT(ROUNDUP((16*J$5*($A19-1)/14),0)/(9*16))&gt;0,INT(ROUNDUP((16*J$5*($A19-1)/14),0)/(9*16))&amp;"行","")&amp;IF(INT(MOD(ROUNDUP((16*J$5*($A19-1)/14),0),(9*16))/16)&gt;0,INT(MOD(ROUNDUP((16*J$5*($A19-1)/14),0),(9*16))/16)&amp;"组","")&amp;IF(MOD(ROUNDUP((16*J$5*($A19-1)/14),0),16)&gt;0,MOD(ROUNDUP((16*J$5*($A19-1)/14),0),16)&amp;"个","")</f>
        <v>12个</v>
      </c>
      <c r="K19" s="30" t="str">
        <f>IF(INT(ROUNDUP((16*K$5*($A19-1)/14),0)/(9*16))&gt;0,INT(ROUNDUP((16*K$5*($A19-1)/14),0)/(9*16))&amp;"行","")&amp;IF(INT(MOD(ROUNDUP((16*K$5*($A19-1)/14),0),(9*16))/16)&gt;0,INT(MOD(ROUNDUP((16*K$5*($A19-1)/14),0),(9*16))/16)&amp;"组","")&amp;IF(MOD(ROUNDUP((16*K$5*($A19-1)/14),0),16)&gt;0,MOD(ROUNDUP((16*K$5*($A19-1)/14),0),16)&amp;"个","")</f>
        <v>2组3个</v>
      </c>
      <c r="L19" s="30" t="str">
        <f>IF(INT(ROUNDUP((16*L$5*($A19-1)/14),0)/(9*16))&gt;0,INT(ROUNDUP((16*L$5*($A19-1)/14),0)/(9*16))&amp;"行","")&amp;IF(INT(MOD(ROUNDUP((16*L$5*($A19-1)/14),0),(9*16))/16)&gt;0,INT(MOD(ROUNDUP((16*L$5*($A19-1)/14),0),(9*16))/16)&amp;"组","")&amp;IF(MOD(ROUNDUP((16*L$5*($A19-1)/14),0),16)&gt;0,MOD(ROUNDUP((16*L$5*($A19-1)/14),0),16)&amp;"个","")</f>
        <v>3组10个</v>
      </c>
      <c r="M19" s="30" t="str">
        <f>IF(INT(ROUNDUP((16*M$5*($A19-1)/14),0)/(9*16))&gt;0,INT(ROUNDUP((16*M$5*($A19-1)/14),0)/(9*16))&amp;"行","")&amp;IF(INT(MOD(ROUNDUP((16*M$5*($A19-1)/14),0),(9*16))/16)&gt;0,INT(MOD(ROUNDUP((16*M$5*($A19-1)/14),0),(9*16))/16)&amp;"组","")&amp;IF(MOD(ROUNDUP((16*M$5*($A19-1)/14),0),16)&gt;0,MOD(ROUNDUP((16*M$5*($A19-1)/14),0),16)&amp;"个","")</f>
        <v>6组7个</v>
      </c>
      <c r="N19" s="30" t="str">
        <f>IF(INT(ROUNDUP((16*N$5*($A19-1)/14),0)/(9*16))&gt;0,INT(ROUNDUP((16*N$5*($A19-1)/14),0)/(9*16))&amp;"行","")&amp;IF(INT(MOD(ROUNDUP((16*N$5*($A19-1)/14),0),(9*16))/16)&gt;0,INT(MOD(ROUNDUP((16*N$5*($A19-1)/14),0),(9*16))/16)&amp;"组","")&amp;IF(MOD(ROUNDUP((16*N$5*($A19-1)/14),0),16)&gt;0,MOD(ROUNDUP((16*N$5*($A19-1)/14),0),16)&amp;"个","")</f>
        <v>2行1组5个</v>
      </c>
      <c r="O19" s="30" t="str">
        <f>IF(INT(ROUNDUP((16*O$5*($A19-1)/14),0)/(9*16))&gt;0,INT(ROUNDUP((16*O$5*($A19-1)/14),0)/(9*16))&amp;"行","")&amp;IF(INT(MOD(ROUNDUP((16*O$5*($A19-1)/14),0),(9*16))/16)&gt;0,INT(MOD(ROUNDUP((16*O$5*($A19-1)/14),0),(9*16))/16)&amp;"组","")&amp;IF(MOD(ROUNDUP((16*O$5*($A19-1)/14),0),16)&gt;0,MOD(ROUNDUP((16*O$5*($A19-1)/14),0),16)&amp;"个","")</f>
        <v>4行2组10个</v>
      </c>
    </row>
    <row r="20" spans="1:15">
      <c r="A20" s="30">
        <v>12</v>
      </c>
      <c r="B20" s="30" t="str">
        <f>IF(INT(ROUNDUP((64*B$5*($A20-1)/14),0)/(9*64))&gt;0,INT(ROUNDUP((64*B$5*($A20-1)/14),0)/(9*64))&amp;"行","")&amp;IF(INT(MOD(ROUNDUP((64*B$5*($A20-1)/14),0),(9*64))/64)&gt;0,INT(MOD(ROUNDUP((64*B$5*($A20-1)/14),0),(9*64))/64)&amp;"组","")&amp;IF(MOD(ROUNDUP((64*B$5*($A20-1)/14),0),64)&gt;0,MOD(ROUNDUP((64*B$5*($A20-1)/14),0),64)&amp;"个","")</f>
        <v>51个</v>
      </c>
      <c r="C20" s="30" t="str">
        <f>IF(INT(ROUNDUP((64*C$5*($A20-1)/14),0)/(9*64))&gt;0,INT(ROUNDUP((64*C$5*($A20-1)/14),0)/(9*64))&amp;"行","")&amp;IF(INT(MOD(ROUNDUP((64*C$5*($A20-1)/14),0),(9*64))/64)&gt;0,INT(MOD(ROUNDUP((64*C$5*($A20-1)/14),0),(9*64))/64)&amp;"组","")&amp;IF(MOD(ROUNDUP((64*C$5*($A20-1)/14),0),64)&gt;0,MOD(ROUNDUP((64*C$5*($A20-1)/14),0),64)&amp;"个","")</f>
        <v>2组23个</v>
      </c>
      <c r="D20" s="30" t="str">
        <f>IF(INT(ROUNDUP((64*D$5*($A20-1)/14),0)/(9*64))&gt;0,INT(ROUNDUP((64*D$5*($A20-1)/14),0)/(9*64))&amp;"行","")&amp;IF(INT(MOD(ROUNDUP((64*D$5*($A20-1)/14),0),(9*64))/64)&gt;0,INT(MOD(ROUNDUP((64*D$5*($A20-1)/14),0),(9*64))/64)&amp;"组","")&amp;IF(MOD(ROUNDUP((64*D$5*($A20-1)/14),0),64)&gt;0,MOD(ROUNDUP((64*D$5*($A20-1)/14),0),64)&amp;"个","")</f>
        <v>3组60个</v>
      </c>
      <c r="E20" s="30" t="str">
        <f>IF(INT(ROUNDUP((64*E$5*($A20-1)/14),0)/(9*64))&gt;0,INT(ROUNDUP((64*E$5*($A20-1)/14),0)/(9*64))&amp;"行","")&amp;IF(INT(MOD(ROUNDUP((64*E$5*($A20-1)/14),0),(9*64))/64)&gt;0,INT(MOD(ROUNDUP((64*E$5*($A20-1)/14),0),(9*64))/64)&amp;"组","")&amp;IF(MOD(ROUNDUP((64*E$5*($A20-1)/14),0),64)&gt;0,MOD(ROUNDUP((64*E$5*($A20-1)/14),0),64)&amp;"个","")</f>
        <v>7组5个</v>
      </c>
      <c r="F20" s="30" t="str">
        <f>IF(INT(ROUNDUP((64*F$5*($A20-1)/14),0)/(9*64))&gt;0,INT(ROUNDUP((64*F$5*($A20-1)/14),0)/(9*64))&amp;"行","")&amp;IF(INT(MOD(ROUNDUP((64*F$5*($A20-1)/14),0),(9*64))/64)&gt;0,INT(MOD(ROUNDUP((64*F$5*($A20-1)/14),0),(9*64))/64)&amp;"组","")&amp;IF(MOD(ROUNDUP((64*F$5*($A20-1)/14),0),64)&gt;0,MOD(ROUNDUP((64*F$5*($A20-1)/14),0),64)&amp;"个","")</f>
        <v>2行3组14个</v>
      </c>
      <c r="G20" s="30" t="str">
        <f>IF(INT(ROUNDUP((64*G$5*($A20-1)/14),0)/(9*64))&gt;0,INT(ROUNDUP((64*G$5*($A20-1)/14),0)/(9*64))&amp;"行","")&amp;IF(INT(MOD(ROUNDUP((64*G$5*($A20-1)/14),0),(9*64))/64)&gt;0,INT(MOD(ROUNDUP((64*G$5*($A20-1)/14),0),(9*64))/64)&amp;"组","")&amp;IF(MOD(ROUNDUP((64*G$5*($A20-1)/14),0),64)&gt;0,MOD(ROUNDUP((64*G$5*($A20-1)/14),0),64)&amp;"个","")</f>
        <v>4行6组28个</v>
      </c>
      <c r="I20" s="30">
        <v>12</v>
      </c>
      <c r="J20" s="30" t="str">
        <f>IF(INT(ROUNDUP((16*J$5*($A20-1)/14),0)/(9*16))&gt;0,INT(ROUNDUP((16*J$5*($A20-1)/14),0)/(9*16))&amp;"行","")&amp;IF(INT(MOD(ROUNDUP((16*J$5*($A20-1)/14),0),(9*16))/16)&gt;0,INT(MOD(ROUNDUP((16*J$5*($A20-1)/14),0),(9*16))/16)&amp;"组","")&amp;IF(MOD(ROUNDUP((16*J$5*($A20-1)/14),0),16)&gt;0,MOD(ROUNDUP((16*J$5*($A20-1)/14),0),16)&amp;"个","")</f>
        <v>13个</v>
      </c>
      <c r="K20" s="30" t="str">
        <f>IF(INT(ROUNDUP((16*K$5*($A20-1)/14),0)/(9*16))&gt;0,INT(ROUNDUP((16*K$5*($A20-1)/14),0)/(9*16))&amp;"行","")&amp;IF(INT(MOD(ROUNDUP((16*K$5*($A20-1)/14),0),(9*16))/16)&gt;0,INT(MOD(ROUNDUP((16*K$5*($A20-1)/14),0),(9*16))/16)&amp;"组","")&amp;IF(MOD(ROUNDUP((16*K$5*($A20-1)/14),0),16)&gt;0,MOD(ROUNDUP((16*K$5*($A20-1)/14),0),16)&amp;"个","")</f>
        <v>2组6个</v>
      </c>
      <c r="L20" s="30" t="str">
        <f>IF(INT(ROUNDUP((16*L$5*($A20-1)/14),0)/(9*16))&gt;0,INT(ROUNDUP((16*L$5*($A20-1)/14),0)/(9*16))&amp;"行","")&amp;IF(INT(MOD(ROUNDUP((16*L$5*($A20-1)/14),0),(9*16))/16)&gt;0,INT(MOD(ROUNDUP((16*L$5*($A20-1)/14),0),(9*16))/16)&amp;"组","")&amp;IF(MOD(ROUNDUP((16*L$5*($A20-1)/14),0),16)&gt;0,MOD(ROUNDUP((16*L$5*($A20-1)/14),0),16)&amp;"个","")</f>
        <v>3组15个</v>
      </c>
      <c r="M20" s="30" t="str">
        <f>IF(INT(ROUNDUP((16*M$5*($A20-1)/14),0)/(9*16))&gt;0,INT(ROUNDUP((16*M$5*($A20-1)/14),0)/(9*16))&amp;"行","")&amp;IF(INT(MOD(ROUNDUP((16*M$5*($A20-1)/14),0),(9*16))/16)&gt;0,INT(MOD(ROUNDUP((16*M$5*($A20-1)/14),0),(9*16))/16)&amp;"组","")&amp;IF(MOD(ROUNDUP((16*M$5*($A20-1)/14),0),16)&gt;0,MOD(ROUNDUP((16*M$5*($A20-1)/14),0),16)&amp;"个","")</f>
        <v>7组2个</v>
      </c>
      <c r="N20" s="30" t="str">
        <f>IF(INT(ROUNDUP((16*N$5*($A20-1)/14),0)/(9*16))&gt;0,INT(ROUNDUP((16*N$5*($A20-1)/14),0)/(9*16))&amp;"行","")&amp;IF(INT(MOD(ROUNDUP((16*N$5*($A20-1)/14),0),(9*16))/16)&gt;0,INT(MOD(ROUNDUP((16*N$5*($A20-1)/14),0),(9*16))/16)&amp;"组","")&amp;IF(MOD(ROUNDUP((16*N$5*($A20-1)/14),0),16)&gt;0,MOD(ROUNDUP((16*N$5*($A20-1)/14),0),16)&amp;"个","")</f>
        <v>2行3组4个</v>
      </c>
      <c r="O20" s="30" t="str">
        <f>IF(INT(ROUNDUP((16*O$5*($A20-1)/14),0)/(9*16))&gt;0,INT(ROUNDUP((16*O$5*($A20-1)/14),0)/(9*16))&amp;"行","")&amp;IF(INT(MOD(ROUNDUP((16*O$5*($A20-1)/14),0),(9*16))/16)&gt;0,INT(MOD(ROUNDUP((16*O$5*($A20-1)/14),0),(9*16))/16)&amp;"组","")&amp;IF(MOD(ROUNDUP((16*O$5*($A20-1)/14),0),16)&gt;0,MOD(ROUNDUP((16*O$5*($A20-1)/14),0),16)&amp;"个","")</f>
        <v>4行6组7个</v>
      </c>
    </row>
    <row r="21" spans="1:15">
      <c r="A21" s="31">
        <v>13</v>
      </c>
      <c r="B21" s="32" t="str">
        <f>IF(INT(ROUNDUP((64*B$5*($A21-1)/14),0)/(9*64))&gt;0,INT(ROUNDUP((64*B$5*($A21-1)/14),0)/(9*64))&amp;"行","")&amp;IF(INT(MOD(ROUNDUP((64*B$5*($A21-1)/14),0),(9*64))/64)&gt;0,INT(MOD(ROUNDUP((64*B$5*($A21-1)/14),0),(9*64))/64)&amp;"组","")&amp;IF(MOD(ROUNDUP((64*B$5*($A21-1)/14),0),64)&gt;0,MOD(ROUNDUP((64*B$5*($A21-1)/14),0),64)&amp;"个","")</f>
        <v>55个</v>
      </c>
      <c r="C21" s="32" t="str">
        <f>IF(INT(ROUNDUP((64*C$5*($A21-1)/14),0)/(9*64))&gt;0,INT(ROUNDUP((64*C$5*($A21-1)/14),0)/(9*64))&amp;"行","")&amp;IF(INT(MOD(ROUNDUP((64*C$5*($A21-1)/14),0),(9*64))/64)&gt;0,INT(MOD(ROUNDUP((64*C$5*($A21-1)/14),0),(9*64))/64)&amp;"组","")&amp;IF(MOD(ROUNDUP((64*C$5*($A21-1)/14),0),64)&gt;0,MOD(ROUNDUP((64*C$5*($A21-1)/14),0),64)&amp;"个","")</f>
        <v>2组37个</v>
      </c>
      <c r="D21" s="32" t="str">
        <f>IF(INT(ROUNDUP((64*D$5*($A21-1)/14),0)/(9*64))&gt;0,INT(ROUNDUP((64*D$5*($A21-1)/14),0)/(9*64))&amp;"行","")&amp;IF(INT(MOD(ROUNDUP((64*D$5*($A21-1)/14),0),(9*64))/64)&gt;0,INT(MOD(ROUNDUP((64*D$5*($A21-1)/14),0),(9*64))/64)&amp;"组","")&amp;IF(MOD(ROUNDUP((64*D$5*($A21-1)/14),0),64)&gt;0,MOD(ROUNDUP((64*D$5*($A21-1)/14),0),64)&amp;"个","")</f>
        <v>4组19个</v>
      </c>
      <c r="E21" s="32" t="str">
        <f>IF(INT(ROUNDUP((64*E$5*($A21-1)/14),0)/(9*64))&gt;0,INT(ROUNDUP((64*E$5*($A21-1)/14),0)/(9*64))&amp;"行","")&amp;IF(INT(MOD(ROUNDUP((64*E$5*($A21-1)/14),0),(9*64))/64)&gt;0,INT(MOD(ROUNDUP((64*E$5*($A21-1)/14),0),(9*64))/64)&amp;"组","")&amp;IF(MOD(ROUNDUP((64*E$5*($A21-1)/14),0),64)&gt;0,MOD(ROUNDUP((64*E$5*($A21-1)/14),0),64)&amp;"个","")</f>
        <v>7组46个</v>
      </c>
      <c r="F21" s="32" t="str">
        <f>IF(INT(ROUNDUP((64*F$5*($A21-1)/14),0)/(9*64))&gt;0,INT(ROUNDUP((64*F$5*($A21-1)/14),0)/(9*64))&amp;"行","")&amp;IF(INT(MOD(ROUNDUP((64*F$5*($A21-1)/14),0),(9*64))/64)&gt;0,INT(MOD(ROUNDUP((64*F$5*($A21-1)/14),0),(9*64))/64)&amp;"组","")&amp;IF(MOD(ROUNDUP((64*F$5*($A21-1)/14),0),64)&gt;0,MOD(ROUNDUP((64*F$5*($A21-1)/14),0),64)&amp;"个","")</f>
        <v>2行5组10个</v>
      </c>
      <c r="G21" s="32" t="str">
        <f>IF(INT(ROUNDUP((64*G$5*($A21-1)/14),0)/(9*64))&gt;0,INT(ROUNDUP((64*G$5*($A21-1)/14),0)/(9*64))&amp;"行","")&amp;IF(INT(MOD(ROUNDUP((64*G$5*($A21-1)/14),0),(9*64))/64)&gt;0,INT(MOD(ROUNDUP((64*G$5*($A21-1)/14),0),(9*64))/64)&amp;"组","")&amp;IF(MOD(ROUNDUP((64*G$5*($A21-1)/14),0),64)&gt;0,MOD(ROUNDUP((64*G$5*($A21-1)/14),0),64)&amp;"个","")</f>
        <v>5行1组19个</v>
      </c>
      <c r="I21" s="31">
        <v>13</v>
      </c>
      <c r="J21" s="32" t="str">
        <f>IF(INT(ROUNDUP((16*J$5*($A21-1)/14),0)/(9*16))&gt;0,INT(ROUNDUP((16*J$5*($A21-1)/14),0)/(9*16))&amp;"行","")&amp;IF(INT(MOD(ROUNDUP((16*J$5*($A21-1)/14),0),(9*16))/16)&gt;0,INT(MOD(ROUNDUP((16*J$5*($A21-1)/14),0),(9*16))/16)&amp;"组","")&amp;IF(MOD(ROUNDUP((16*J$5*($A21-1)/14),0),16)&gt;0,MOD(ROUNDUP((16*J$5*($A21-1)/14),0),16)&amp;"个","")</f>
        <v>14个</v>
      </c>
      <c r="K21" s="32" t="str">
        <f>IF(INT(ROUNDUP((16*K$5*($A21-1)/14),0)/(9*16))&gt;0,INT(ROUNDUP((16*K$5*($A21-1)/14),0)/(9*16))&amp;"行","")&amp;IF(INT(MOD(ROUNDUP((16*K$5*($A21-1)/14),0),(9*16))/16)&gt;0,INT(MOD(ROUNDUP((16*K$5*($A21-1)/14),0),(9*16))/16)&amp;"组","")&amp;IF(MOD(ROUNDUP((16*K$5*($A21-1)/14),0),16)&gt;0,MOD(ROUNDUP((16*K$5*($A21-1)/14),0),16)&amp;"个","")</f>
        <v>2组10个</v>
      </c>
      <c r="L21" s="32" t="str">
        <f>IF(INT(ROUNDUP((16*L$5*($A21-1)/14),0)/(9*16))&gt;0,INT(ROUNDUP((16*L$5*($A21-1)/14),0)/(9*16))&amp;"行","")&amp;IF(INT(MOD(ROUNDUP((16*L$5*($A21-1)/14),0),(9*16))/16)&gt;0,INT(MOD(ROUNDUP((16*L$5*($A21-1)/14),0),(9*16))/16)&amp;"组","")&amp;IF(MOD(ROUNDUP((16*L$5*($A21-1)/14),0),16)&gt;0,MOD(ROUNDUP((16*L$5*($A21-1)/14),0),16)&amp;"个","")</f>
        <v>4组5个</v>
      </c>
      <c r="M21" s="32" t="str">
        <f>IF(INT(ROUNDUP((16*M$5*($A21-1)/14),0)/(9*16))&gt;0,INT(ROUNDUP((16*M$5*($A21-1)/14),0)/(9*16))&amp;"行","")&amp;IF(INT(MOD(ROUNDUP((16*M$5*($A21-1)/14),0),(9*16))/16)&gt;0,INT(MOD(ROUNDUP((16*M$5*($A21-1)/14),0),(9*16))/16)&amp;"组","")&amp;IF(MOD(ROUNDUP((16*M$5*($A21-1)/14),0),16)&gt;0,MOD(ROUNDUP((16*M$5*($A21-1)/14),0),16)&amp;"个","")</f>
        <v>7组12个</v>
      </c>
      <c r="N21" s="32" t="str">
        <f>IF(INT(ROUNDUP((16*N$5*($A21-1)/14),0)/(9*16))&gt;0,INT(ROUNDUP((16*N$5*($A21-1)/14),0)/(9*16))&amp;"行","")&amp;IF(INT(MOD(ROUNDUP((16*N$5*($A21-1)/14),0),(9*16))/16)&gt;0,INT(MOD(ROUNDUP((16*N$5*($A21-1)/14),0),(9*16))/16)&amp;"组","")&amp;IF(MOD(ROUNDUP((16*N$5*($A21-1)/14),0),16)&gt;0,MOD(ROUNDUP((16*N$5*($A21-1)/14),0),16)&amp;"个","")</f>
        <v>2行5组3个</v>
      </c>
      <c r="O21" s="32" t="str">
        <f>IF(INT(ROUNDUP((16*O$5*($A21-1)/14),0)/(9*16))&gt;0,INT(ROUNDUP((16*O$5*($A21-1)/14),0)/(9*16))&amp;"行","")&amp;IF(INT(MOD(ROUNDUP((16*O$5*($A21-1)/14),0),(9*16))/16)&gt;0,INT(MOD(ROUNDUP((16*O$5*($A21-1)/14),0),(9*16))/16)&amp;"组","")&amp;IF(MOD(ROUNDUP((16*O$5*($A21-1)/14),0),16)&gt;0,MOD(ROUNDUP((16*O$5*($A21-1)/14),0),16)&amp;"个","")</f>
        <v>5行1组5个</v>
      </c>
    </row>
    <row r="22" spans="1:15">
      <c r="A22" s="31">
        <v>14</v>
      </c>
      <c r="B22" s="32" t="str">
        <f>IF(INT(ROUNDUP((64*B$5*($A22-1)/14),0)/(9*64))&gt;0,INT(ROUNDUP((64*B$5*($A22-1)/14),0)/(9*64))&amp;"行","")&amp;IF(INT(MOD(ROUNDUP((64*B$5*($A22-1)/14),0),(9*64))/64)&gt;0,INT(MOD(ROUNDUP((64*B$5*($A22-1)/14),0),(9*64))/64)&amp;"组","")&amp;IF(MOD(ROUNDUP((64*B$5*($A22-1)/14),0),64)&gt;0,MOD(ROUNDUP((64*B$5*($A22-1)/14),0),64)&amp;"个","")</f>
        <v>60个</v>
      </c>
      <c r="C22" s="32" t="str">
        <f>IF(INT(ROUNDUP((64*C$5*($A22-1)/14),0)/(9*64))&gt;0,INT(ROUNDUP((64*C$5*($A22-1)/14),0)/(9*64))&amp;"行","")&amp;IF(INT(MOD(ROUNDUP((64*C$5*($A22-1)/14),0),(9*64))/64)&gt;0,INT(MOD(ROUNDUP((64*C$5*($A22-1)/14),0),(9*64))/64)&amp;"组","")&amp;IF(MOD(ROUNDUP((64*C$5*($A22-1)/14),0),64)&gt;0,MOD(ROUNDUP((64*C$5*($A22-1)/14),0),64)&amp;"个","")</f>
        <v>2组51个</v>
      </c>
      <c r="D22" s="32" t="str">
        <f>IF(INT(ROUNDUP((64*D$5*($A22-1)/14),0)/(9*64))&gt;0,INT(ROUNDUP((64*D$5*($A22-1)/14),0)/(9*64))&amp;"行","")&amp;IF(INT(MOD(ROUNDUP((64*D$5*($A22-1)/14),0),(9*64))/64)&gt;0,INT(MOD(ROUNDUP((64*D$5*($A22-1)/14),0),(9*64))/64)&amp;"组","")&amp;IF(MOD(ROUNDUP((64*D$5*($A22-1)/14),0),64)&gt;0,MOD(ROUNDUP((64*D$5*($A22-1)/14),0),64)&amp;"个","")</f>
        <v>4组42个</v>
      </c>
      <c r="E22" s="32" t="str">
        <f>IF(INT(ROUNDUP((64*E$5*($A22-1)/14),0)/(9*64))&gt;0,INT(ROUNDUP((64*E$5*($A22-1)/14),0)/(9*64))&amp;"行","")&amp;IF(INT(MOD(ROUNDUP((64*E$5*($A22-1)/14),0),(9*64))/64)&gt;0,INT(MOD(ROUNDUP((64*E$5*($A22-1)/14),0),(9*64))/64)&amp;"组","")&amp;IF(MOD(ROUNDUP((64*E$5*($A22-1)/14),0),64)&gt;0,MOD(ROUNDUP((64*E$5*($A22-1)/14),0),64)&amp;"个","")</f>
        <v>8组23个</v>
      </c>
      <c r="F22" s="32" t="str">
        <f>IF(INT(ROUNDUP((64*F$5*($A22-1)/14),0)/(9*64))&gt;0,INT(ROUNDUP((64*F$5*($A22-1)/14),0)/(9*64))&amp;"行","")&amp;IF(INT(MOD(ROUNDUP((64*F$5*($A22-1)/14),0),(9*64))/64)&gt;0,INT(MOD(ROUNDUP((64*F$5*($A22-1)/14),0),(9*64))/64)&amp;"组","")&amp;IF(MOD(ROUNDUP((64*F$5*($A22-1)/14),0),64)&gt;0,MOD(ROUNDUP((64*F$5*($A22-1)/14),0),64)&amp;"个","")</f>
        <v>2行7组5个</v>
      </c>
      <c r="G22" s="32" t="str">
        <f>IF(INT(ROUNDUP((64*G$5*($A22-1)/14),0)/(9*64))&gt;0,INT(ROUNDUP((64*G$5*($A22-1)/14),0)/(9*64))&amp;"行","")&amp;IF(INT(MOD(ROUNDUP((64*G$5*($A22-1)/14),0),(9*64))/64)&gt;0,INT(MOD(ROUNDUP((64*G$5*($A22-1)/14),0),(9*64))/64)&amp;"组","")&amp;IF(MOD(ROUNDUP((64*G$5*($A22-1)/14),0),64)&gt;0,MOD(ROUNDUP((64*G$5*($A22-1)/14),0),64)&amp;"个","")</f>
        <v>5行5组10个</v>
      </c>
      <c r="I22" s="31">
        <v>14</v>
      </c>
      <c r="J22" s="32" t="str">
        <f>IF(INT(ROUNDUP((16*J$5*($A22-1)/14),0)/(9*16))&gt;0,INT(ROUNDUP((16*J$5*($A22-1)/14),0)/(9*16))&amp;"行","")&amp;IF(INT(MOD(ROUNDUP((16*J$5*($A22-1)/14),0),(9*16))/16)&gt;0,INT(MOD(ROUNDUP((16*J$5*($A22-1)/14),0),(9*16))/16)&amp;"组","")&amp;IF(MOD(ROUNDUP((16*J$5*($A22-1)/14),0),16)&gt;0,MOD(ROUNDUP((16*J$5*($A22-1)/14),0),16)&amp;"个","")</f>
        <v>15个</v>
      </c>
      <c r="K22" s="32" t="str">
        <f>IF(INT(ROUNDUP((16*K$5*($A22-1)/14),0)/(9*16))&gt;0,INT(ROUNDUP((16*K$5*($A22-1)/14),0)/(9*16))&amp;"行","")&amp;IF(INT(MOD(ROUNDUP((16*K$5*($A22-1)/14),0),(9*16))/16)&gt;0,INT(MOD(ROUNDUP((16*K$5*($A22-1)/14),0),(9*16))/16)&amp;"组","")&amp;IF(MOD(ROUNDUP((16*K$5*($A22-1)/14),0),16)&gt;0,MOD(ROUNDUP((16*K$5*($A22-1)/14),0),16)&amp;"个","")</f>
        <v>2组13个</v>
      </c>
      <c r="L22" s="32" t="str">
        <f>IF(INT(ROUNDUP((16*L$5*($A22-1)/14),0)/(9*16))&gt;0,INT(ROUNDUP((16*L$5*($A22-1)/14),0)/(9*16))&amp;"行","")&amp;IF(INT(MOD(ROUNDUP((16*L$5*($A22-1)/14),0),(9*16))/16)&gt;0,INT(MOD(ROUNDUP((16*L$5*($A22-1)/14),0),(9*16))/16)&amp;"组","")&amp;IF(MOD(ROUNDUP((16*L$5*($A22-1)/14),0),16)&gt;0,MOD(ROUNDUP((16*L$5*($A22-1)/14),0),16)&amp;"个","")</f>
        <v>4组11个</v>
      </c>
      <c r="M22" s="32" t="str">
        <f>IF(INT(ROUNDUP((16*M$5*($A22-1)/14),0)/(9*16))&gt;0,INT(ROUNDUP((16*M$5*($A22-1)/14),0)/(9*16))&amp;"行","")&amp;IF(INT(MOD(ROUNDUP((16*M$5*($A22-1)/14),0),(9*16))/16)&gt;0,INT(MOD(ROUNDUP((16*M$5*($A22-1)/14),0),(9*16))/16)&amp;"组","")&amp;IF(MOD(ROUNDUP((16*M$5*($A22-1)/14),0),16)&gt;0,MOD(ROUNDUP((16*M$5*($A22-1)/14),0),16)&amp;"个","")</f>
        <v>8组6个</v>
      </c>
      <c r="N22" s="32" t="str">
        <f>IF(INT(ROUNDUP((16*N$5*($A22-1)/14),0)/(9*16))&gt;0,INT(ROUNDUP((16*N$5*($A22-1)/14),0)/(9*16))&amp;"行","")&amp;IF(INT(MOD(ROUNDUP((16*N$5*($A22-1)/14),0),(9*16))/16)&gt;0,INT(MOD(ROUNDUP((16*N$5*($A22-1)/14),0),(9*16))/16)&amp;"组","")&amp;IF(MOD(ROUNDUP((16*N$5*($A22-1)/14),0),16)&gt;0,MOD(ROUNDUP((16*N$5*($A22-1)/14),0),16)&amp;"个","")</f>
        <v>2行7组2个</v>
      </c>
      <c r="O22" s="32" t="str">
        <f>IF(INT(ROUNDUP((16*O$5*($A22-1)/14),0)/(9*16))&gt;0,INT(ROUNDUP((16*O$5*($A22-1)/14),0)/(9*16))&amp;"行","")&amp;IF(INT(MOD(ROUNDUP((16*O$5*($A22-1)/14),0),(9*16))/16)&gt;0,INT(MOD(ROUNDUP((16*O$5*($A22-1)/14),0),(9*16))/16)&amp;"组","")&amp;IF(MOD(ROUNDUP((16*O$5*($A22-1)/14),0),16)&gt;0,MOD(ROUNDUP((16*O$5*($A22-1)/14),0),16)&amp;"个","")</f>
        <v>5行5组3个</v>
      </c>
    </row>
    <row r="23" spans="1:15">
      <c r="A23" s="35">
        <v>15</v>
      </c>
      <c r="B23" s="36" t="str">
        <f>IF(INT(ROUNDUP((64*B$5*($A23-1)/14),0)/(9*64))&gt;0,INT(ROUNDUP((64*B$5*($A23-1)/14),0)/(9*64))&amp;"行","")&amp;IF(INT(MOD(ROUNDUP((64*B$5*($A23-1)/14),0),(9*64))/64)&gt;0,INT(MOD(ROUNDUP((64*B$5*($A23-1)/14),0),(9*64))/64)&amp;"组","")&amp;IF(MOD(ROUNDUP((64*B$5*($A23-1)/14),0),64)&gt;0,MOD(ROUNDUP((64*B$5*($A23-1)/14),0),64)&amp;"个","")</f>
        <v>1组</v>
      </c>
      <c r="C23" s="36" t="str">
        <f>IF(INT(ROUNDUP((64*C$5*($A23-1)/14),0)/(9*64))&gt;0,INT(ROUNDUP((64*C$5*($A23-1)/14),0)/(9*64))&amp;"行","")&amp;IF(INT(MOD(ROUNDUP((64*C$5*($A23-1)/14),0),(9*64))/64)&gt;0,INT(MOD(ROUNDUP((64*C$5*($A23-1)/14),0),(9*64))/64)&amp;"组","")&amp;IF(MOD(ROUNDUP((64*C$5*($A23-1)/14),0),64)&gt;0,MOD(ROUNDUP((64*C$5*($A23-1)/14),0),64)&amp;"个","")</f>
        <v>3组</v>
      </c>
      <c r="D23" s="36" t="str">
        <f>IF(INT(ROUNDUP((64*D$5*($A23-1)/14),0)/(9*64))&gt;0,INT(ROUNDUP((64*D$5*($A23-1)/14),0)/(9*64))&amp;"行","")&amp;IF(INT(MOD(ROUNDUP((64*D$5*($A23-1)/14),0),(9*64))/64)&gt;0,INT(MOD(ROUNDUP((64*D$5*($A23-1)/14),0),(9*64))/64)&amp;"组","")&amp;IF(MOD(ROUNDUP((64*D$5*($A23-1)/14),0),64)&gt;0,MOD(ROUNDUP((64*D$5*($A23-1)/14),0),64)&amp;"个","")</f>
        <v>5组</v>
      </c>
      <c r="E23" s="36" t="str">
        <f>IF(INT(ROUNDUP((64*E$5*($A23-1)/14),0)/(9*64))&gt;0,INT(ROUNDUP((64*E$5*($A23-1)/14),0)/(9*64))&amp;"行","")&amp;IF(INT(MOD(ROUNDUP((64*E$5*($A23-1)/14),0),(9*64))/64)&gt;0,INT(MOD(ROUNDUP((64*E$5*($A23-1)/14),0),(9*64))/64)&amp;"组","")&amp;IF(MOD(ROUNDUP((64*E$5*($A23-1)/14),0),64)&gt;0,MOD(ROUNDUP((64*E$5*($A23-1)/14),0),64)&amp;"个","")</f>
        <v>1行</v>
      </c>
      <c r="F23" s="36" t="str">
        <f>IF(INT(ROUNDUP((64*F$5*($A23-1)/14),0)/(9*64))&gt;0,INT(ROUNDUP((64*F$5*($A23-1)/14),0)/(9*64))&amp;"行","")&amp;IF(INT(MOD(ROUNDUP((64*F$5*($A23-1)/14),0),(9*64))/64)&gt;0,INT(MOD(ROUNDUP((64*F$5*($A23-1)/14),0),(9*64))/64)&amp;"组","")&amp;IF(MOD(ROUNDUP((64*F$5*($A23-1)/14),0),64)&gt;0,MOD(ROUNDUP((64*F$5*($A23-1)/14),0),64)&amp;"个","")</f>
        <v>3行</v>
      </c>
      <c r="G23" s="36" t="str">
        <f>IF(INT(ROUNDUP((64*G$5*($A23-1)/14),0)/(9*64))&gt;0,INT(ROUNDUP((64*G$5*($A23-1)/14),0)/(9*64))&amp;"行","")&amp;IF(INT(MOD(ROUNDUP((64*G$5*($A23-1)/14),0),(9*64))/64)&gt;0,INT(MOD(ROUNDUP((64*G$5*($A23-1)/14),0),(9*64))/64)&amp;"组","")&amp;IF(MOD(ROUNDUP((64*G$5*($A23-1)/14),0),64)&gt;0,MOD(ROUNDUP((64*G$5*($A23-1)/14),0),64)&amp;"个","")</f>
        <v>6行</v>
      </c>
      <c r="I23" s="35">
        <v>15</v>
      </c>
      <c r="J23" s="36" t="str">
        <f>IF(INT(ROUNDUP((16*J$5*($A23-1)/14),0)/(9*16))&gt;0,INT(ROUNDUP((16*J$5*($A23-1)/14),0)/(9*16))&amp;"行","")&amp;IF(INT(MOD(ROUNDUP((16*J$5*($A23-1)/14),0),(9*16))/16)&gt;0,INT(MOD(ROUNDUP((16*J$5*($A23-1)/14),0),(9*16))/16)&amp;"组","")&amp;IF(MOD(ROUNDUP((16*J$5*($A23-1)/14),0),16)&gt;0,MOD(ROUNDUP((16*J$5*($A23-1)/14),0),16)&amp;"个","")</f>
        <v>1组</v>
      </c>
      <c r="K23" s="36" t="str">
        <f>IF(INT(ROUNDUP((16*K$5*($A23-1)/14),0)/(9*16))&gt;0,INT(ROUNDUP((16*K$5*($A23-1)/14),0)/(9*16))&amp;"行","")&amp;IF(INT(MOD(ROUNDUP((16*K$5*($A23-1)/14),0),(9*16))/16)&gt;0,INT(MOD(ROUNDUP((16*K$5*($A23-1)/14),0),(9*16))/16)&amp;"组","")&amp;IF(MOD(ROUNDUP((16*K$5*($A23-1)/14),0),16)&gt;0,MOD(ROUNDUP((16*K$5*($A23-1)/14),0),16)&amp;"个","")</f>
        <v>3组</v>
      </c>
      <c r="L23" s="36" t="str">
        <f>IF(INT(ROUNDUP((16*L$5*($A23-1)/14),0)/(9*16))&gt;0,INT(ROUNDUP((16*L$5*($A23-1)/14),0)/(9*16))&amp;"行","")&amp;IF(INT(MOD(ROUNDUP((16*L$5*($A23-1)/14),0),(9*16))/16)&gt;0,INT(MOD(ROUNDUP((16*L$5*($A23-1)/14),0),(9*16))/16)&amp;"组","")&amp;IF(MOD(ROUNDUP((16*L$5*($A23-1)/14),0),16)&gt;0,MOD(ROUNDUP((16*L$5*($A23-1)/14),0),16)&amp;"个","")</f>
        <v>5组</v>
      </c>
      <c r="M23" s="36" t="str">
        <f>IF(INT(ROUNDUP((16*M$5*($A23-1)/14),0)/(9*16))&gt;0,INT(ROUNDUP((16*M$5*($A23-1)/14),0)/(9*16))&amp;"行","")&amp;IF(INT(MOD(ROUNDUP((16*M$5*($A23-1)/14),0),(9*16))/16)&gt;0,INT(MOD(ROUNDUP((16*M$5*($A23-1)/14),0),(9*16))/16)&amp;"组","")&amp;IF(MOD(ROUNDUP((16*M$5*($A23-1)/14),0),16)&gt;0,MOD(ROUNDUP((16*M$5*($A23-1)/14),0),16)&amp;"个","")</f>
        <v>1行</v>
      </c>
      <c r="N23" s="36" t="str">
        <f>IF(INT(ROUNDUP((16*N$5*($A23-1)/14),0)/(9*16))&gt;0,INT(ROUNDUP((16*N$5*($A23-1)/14),0)/(9*16))&amp;"行","")&amp;IF(INT(MOD(ROUNDUP((16*N$5*($A23-1)/14),0),(9*16))/16)&gt;0,INT(MOD(ROUNDUP((16*N$5*($A23-1)/14),0),(9*16))/16)&amp;"组","")&amp;IF(MOD(ROUNDUP((16*N$5*($A23-1)/14),0),16)&gt;0,MOD(ROUNDUP((16*N$5*($A23-1)/14),0),16)&amp;"个","")</f>
        <v>3行</v>
      </c>
      <c r="O23" s="36" t="str">
        <f>IF(INT(ROUNDUP((16*O$5*($A23-1)/14),0)/(9*16))&gt;0,INT(ROUNDUP((16*O$5*($A23-1)/14),0)/(9*16))&amp;"行","")&amp;IF(INT(MOD(ROUNDUP((16*O$5*($A23-1)/14),0),(9*16))/16)&gt;0,INT(MOD(ROUNDUP((16*O$5*($A23-1)/14),0),(9*16))/16)&amp;"组","")&amp;IF(MOD(ROUNDUP((16*O$5*($A23-1)/14),0),16)&gt;0,MOD(ROUNDUP((16*O$5*($A23-1)/14),0),16)&amp;"个","")</f>
        <v>6行</v>
      </c>
    </row>
  </sheetData>
  <mergeCells count="8">
    <mergeCell ref="B9:G9"/>
    <mergeCell ref="J9:O9"/>
    <mergeCell ref="B7:G7"/>
    <mergeCell ref="J7:O7"/>
    <mergeCell ref="A1:A4"/>
    <mergeCell ref="I1:I4"/>
    <mergeCell ref="B8:G8"/>
    <mergeCell ref="J8:O8"/>
  </mergeCells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超限堆叠"/>
  <dimension ref="A1:G26"/>
  <sheetViews>
    <sheetView workbookViewId="0">
      <selection sqref="A1:A4"/>
    </sheetView>
  </sheetViews>
  <sheetFormatPr defaultColWidth="9" defaultRowHeight="13.8"/>
  <cols>
    <col min="1" max="1" width="11.6640625" bestFit="1" customWidth="1"/>
    <col min="2" max="2" width="7.5546875" bestFit="1" customWidth="1"/>
    <col min="3" max="3" width="8.88671875" bestFit="1" customWidth="1"/>
    <col min="4" max="6" width="10.5546875" bestFit="1" customWidth="1"/>
    <col min="7" max="7" width="11.6640625" bestFit="1" customWidth="1"/>
  </cols>
  <sheetData>
    <row r="1" spans="1:7">
      <c r="A1" s="14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</row>
    <row r="2" spans="1:7">
      <c r="A2" s="14"/>
      <c r="B2" s="11"/>
      <c r="C2" s="11"/>
      <c r="D2" s="11" t="s">
        <v>7</v>
      </c>
      <c r="E2" s="11" t="s">
        <v>8</v>
      </c>
      <c r="F2" s="11" t="s">
        <v>9</v>
      </c>
      <c r="G2" s="11" t="s">
        <v>10</v>
      </c>
    </row>
    <row r="3" spans="1:7">
      <c r="A3" s="14"/>
      <c r="B3" s="11"/>
      <c r="C3" s="11"/>
      <c r="D3" s="11"/>
      <c r="E3" s="11"/>
      <c r="F3" s="11" t="s">
        <v>11</v>
      </c>
      <c r="G3" s="11"/>
    </row>
    <row r="4" spans="1:7">
      <c r="A4" s="14"/>
      <c r="B4" s="11"/>
      <c r="C4" s="11"/>
      <c r="D4" s="11"/>
      <c r="E4" s="11"/>
      <c r="F4" s="11"/>
      <c r="G4" s="11"/>
    </row>
    <row r="5" spans="1:7">
      <c r="A5" s="10" t="s">
        <v>223</v>
      </c>
      <c r="B5" s="10">
        <v>1</v>
      </c>
      <c r="C5" s="10">
        <v>3</v>
      </c>
      <c r="D5" s="10">
        <v>5</v>
      </c>
      <c r="E5" s="10">
        <v>9</v>
      </c>
      <c r="F5" s="10">
        <v>27</v>
      </c>
      <c r="G5" s="10">
        <v>54</v>
      </c>
    </row>
    <row r="6" spans="1:7">
      <c r="A6" s="10" t="s">
        <v>224</v>
      </c>
      <c r="B6" s="5" t="str">
        <f t="shared" ref="B6:G6" si="0">IF(INT(64*B5/14/(9*64))&gt;0,INT(64*B5/14/(9*64))&amp;"行","")&amp;IF(INT(MOD(64*B5/14,(9*64))/64)&gt;0,INT(MOD(64*B5/14,(9*64))/64)&amp;"组","")&amp;IF(ROUND(MOD(64*B5/14,64),1)&gt;0,ROUND(MOD(64*B5/14,64),1)&amp;"个","")</f>
        <v>4.6个</v>
      </c>
      <c r="C6" s="5" t="str">
        <f t="shared" si="0"/>
        <v>13.7个</v>
      </c>
      <c r="D6" s="5" t="str">
        <f t="shared" si="0"/>
        <v>22.9个</v>
      </c>
      <c r="E6" s="5" t="str">
        <f t="shared" si="0"/>
        <v>41.1个</v>
      </c>
      <c r="F6" s="5" t="str">
        <f t="shared" si="0"/>
        <v>1组59.4个</v>
      </c>
      <c r="G6" s="5" t="str">
        <f t="shared" si="0"/>
        <v>3组54.9个</v>
      </c>
    </row>
    <row r="7" spans="1:7">
      <c r="A7" s="10" t="s">
        <v>220</v>
      </c>
      <c r="B7" s="17" t="s">
        <v>221</v>
      </c>
      <c r="C7" s="13"/>
      <c r="D7" s="13"/>
      <c r="E7" s="13"/>
      <c r="F7" s="13"/>
      <c r="G7" s="13"/>
    </row>
    <row r="8" spans="1:7">
      <c r="A8" s="21">
        <v>0</v>
      </c>
      <c r="B8" s="18" t="s">
        <v>12</v>
      </c>
      <c r="C8" s="18"/>
      <c r="D8" s="18"/>
      <c r="E8" s="18"/>
      <c r="F8" s="18"/>
      <c r="G8" s="18"/>
    </row>
    <row r="9" spans="1:7">
      <c r="A9" s="21">
        <v>1</v>
      </c>
      <c r="B9" s="18" t="s">
        <v>13</v>
      </c>
      <c r="C9" s="18"/>
      <c r="D9" s="18"/>
      <c r="E9" s="18"/>
      <c r="F9" s="18"/>
      <c r="G9" s="18"/>
    </row>
    <row r="10" spans="1:7">
      <c r="A10" s="37">
        <v>2</v>
      </c>
      <c r="B10" s="38" t="str">
        <f>IF(INT(ROUNDUP((64*B$5*($A10-1)/14),0)/(64*64))&gt;0,INT(ROUNDUP((64*B$5*($A10-1)/14),0)/(64*64))&amp;"满叠","")&amp;IF(INT(MOD(ROUNDUP((64*B$5*($A10-1)/14),0),(64*64))/64)&gt;0,INT(MOD(ROUNDUP((64*B$5*($A10-1)/14),0),(64*64))/64)&amp;"叠","")&amp;IF(MOD(ROUNDUP((64*B$5*($A10-1)/14),0),64)&gt;0,MOD(ROUNDUP((64*B$5*($A10-1)/14),0),64)&amp;"个","")</f>
        <v>5个</v>
      </c>
      <c r="C10" s="38" t="str">
        <f>IF(INT(ROUNDUP((64*C$5*($A10-1)/14),0)/(64*64))&gt;0,INT(ROUNDUP((64*C$5*($A10-1)/14),0)/(64*64))&amp;"满叠","")&amp;IF(INT(MOD(ROUNDUP((64*C$5*($A10-1)/14),0),(64*64))/64)&gt;0,INT(MOD(ROUNDUP((64*C$5*($A10-1)/14),0),(64*64))/64)&amp;"叠","")&amp;IF(MOD(ROUNDUP((64*C$5*($A10-1)/14),0),64)&gt;0,MOD(ROUNDUP((64*C$5*($A10-1)/14),0),64)&amp;"个","")</f>
        <v>14个</v>
      </c>
      <c r="D10" s="38" t="str">
        <f>IF(INT(ROUNDUP((64*D$5*($A10-1)/14),0)/(64*64))&gt;0,INT(ROUNDUP((64*D$5*($A10-1)/14),0)/(64*64))&amp;"满叠","")&amp;IF(INT(MOD(ROUNDUP((64*D$5*($A10-1)/14),0),(64*64))/64)&gt;0,INT(MOD(ROUNDUP((64*D$5*($A10-1)/14),0),(64*64))/64)&amp;"叠","")&amp;IF(MOD(ROUNDUP((64*D$5*($A10-1)/14),0),64)&gt;0,MOD(ROUNDUP((64*D$5*($A10-1)/14),0),64)&amp;"个","")</f>
        <v>23个</v>
      </c>
      <c r="E10" s="38" t="str">
        <f>IF(INT(ROUNDUP((64*E$5*($A10-1)/14),0)/(64*64))&gt;0,INT(ROUNDUP((64*E$5*($A10-1)/14),0)/(64*64))&amp;"满叠","")&amp;IF(INT(MOD(ROUNDUP((64*E$5*($A10-1)/14),0),(64*64))/64)&gt;0,INT(MOD(ROUNDUP((64*E$5*($A10-1)/14),0),(64*64))/64)&amp;"叠","")&amp;IF(MOD(ROUNDUP((64*E$5*($A10-1)/14),0),64)&gt;0,MOD(ROUNDUP((64*E$5*($A10-1)/14),0),64)&amp;"个","")</f>
        <v>42个</v>
      </c>
      <c r="F10" s="38" t="str">
        <f>IF(INT(ROUNDUP((64*F$5*($A10-1)/14),0)/(64*64))&gt;0,INT(ROUNDUP((64*F$5*($A10-1)/14),0)/(64*64))&amp;"满叠","")&amp;IF(INT(MOD(ROUNDUP((64*F$5*($A10-1)/14),0),(64*64))/64)&gt;0,INT(MOD(ROUNDUP((64*F$5*($A10-1)/14),0),(64*64))/64)&amp;"叠","")&amp;IF(MOD(ROUNDUP((64*F$5*($A10-1)/14),0),64)&gt;0,MOD(ROUNDUP((64*F$5*($A10-1)/14),0),64)&amp;"个","")</f>
        <v>1叠60个</v>
      </c>
      <c r="G10" s="38" t="str">
        <f>IF(INT(ROUNDUP((64*G$5*($A10-1)/14),0)/(64*64))&gt;0,INT(ROUNDUP((64*G$5*($A10-1)/14),0)/(64*64))&amp;"满叠","")&amp;IF(INT(MOD(ROUNDUP((64*G$5*($A10-1)/14),0),(64*64))/64)&gt;0,INT(MOD(ROUNDUP((64*G$5*($A10-1)/14),0),(64*64))/64)&amp;"叠","")&amp;IF(MOD(ROUNDUP((64*G$5*($A10-1)/14),0),64)&gt;0,MOD(ROUNDUP((64*G$5*($A10-1)/14),0),64)&amp;"个","")</f>
        <v>3叠55个</v>
      </c>
    </row>
    <row r="11" spans="1:7">
      <c r="A11" s="37">
        <v>3</v>
      </c>
      <c r="B11" s="38" t="str">
        <f>IF(INT(ROUNDUP((64*B$5*($A11-1)/14),0)/(64*64))&gt;0,INT(ROUNDUP((64*B$5*($A11-1)/14),0)/(64*64))&amp;"满叠","")&amp;IF(INT(MOD(ROUNDUP((64*B$5*($A11-1)/14),0),(64*64))/64)&gt;0,INT(MOD(ROUNDUP((64*B$5*($A11-1)/14),0),(64*64))/64)&amp;"叠","")&amp;IF(MOD(ROUNDUP((64*B$5*($A11-1)/14),0),64)&gt;0,MOD(ROUNDUP((64*B$5*($A11-1)/14),0),64)&amp;"个","")</f>
        <v>10个</v>
      </c>
      <c r="C11" s="38" t="str">
        <f>IF(INT(ROUNDUP((64*C$5*($A11-1)/14),0)/(64*64))&gt;0,INT(ROUNDUP((64*C$5*($A11-1)/14),0)/(64*64))&amp;"满叠","")&amp;IF(INT(MOD(ROUNDUP((64*C$5*($A11-1)/14),0),(64*64))/64)&gt;0,INT(MOD(ROUNDUP((64*C$5*($A11-1)/14),0),(64*64))/64)&amp;"叠","")&amp;IF(MOD(ROUNDUP((64*C$5*($A11-1)/14),0),64)&gt;0,MOD(ROUNDUP((64*C$5*($A11-1)/14),0),64)&amp;"个","")</f>
        <v>28个</v>
      </c>
      <c r="D11" s="38" t="str">
        <f>IF(INT(ROUNDUP((64*D$5*($A11-1)/14),0)/(64*64))&gt;0,INT(ROUNDUP((64*D$5*($A11-1)/14),0)/(64*64))&amp;"满叠","")&amp;IF(INT(MOD(ROUNDUP((64*D$5*($A11-1)/14),0),(64*64))/64)&gt;0,INT(MOD(ROUNDUP((64*D$5*($A11-1)/14),0),(64*64))/64)&amp;"叠","")&amp;IF(MOD(ROUNDUP((64*D$5*($A11-1)/14),0),64)&gt;0,MOD(ROUNDUP((64*D$5*($A11-1)/14),0),64)&amp;"个","")</f>
        <v>46个</v>
      </c>
      <c r="E11" s="38" t="str">
        <f>IF(INT(ROUNDUP((64*E$5*($A11-1)/14),0)/(64*64))&gt;0,INT(ROUNDUP((64*E$5*($A11-1)/14),0)/(64*64))&amp;"满叠","")&amp;IF(INT(MOD(ROUNDUP((64*E$5*($A11-1)/14),0),(64*64))/64)&gt;0,INT(MOD(ROUNDUP((64*E$5*($A11-1)/14),0),(64*64))/64)&amp;"叠","")&amp;IF(MOD(ROUNDUP((64*E$5*($A11-1)/14),0),64)&gt;0,MOD(ROUNDUP((64*E$5*($A11-1)/14),0),64)&amp;"个","")</f>
        <v>1叠19个</v>
      </c>
      <c r="F11" s="38" t="str">
        <f>IF(INT(ROUNDUP((64*F$5*($A11-1)/14),0)/(64*64))&gt;0,INT(ROUNDUP((64*F$5*($A11-1)/14),0)/(64*64))&amp;"满叠","")&amp;IF(INT(MOD(ROUNDUP((64*F$5*($A11-1)/14),0),(64*64))/64)&gt;0,INT(MOD(ROUNDUP((64*F$5*($A11-1)/14),0),(64*64))/64)&amp;"叠","")&amp;IF(MOD(ROUNDUP((64*F$5*($A11-1)/14),0),64)&gt;0,MOD(ROUNDUP((64*F$5*($A11-1)/14),0),64)&amp;"个","")</f>
        <v>3叠55个</v>
      </c>
      <c r="G11" s="38" t="str">
        <f>IF(INT(ROUNDUP((64*G$5*($A11-1)/14),0)/(64*64))&gt;0,INT(ROUNDUP((64*G$5*($A11-1)/14),0)/(64*64))&amp;"满叠","")&amp;IF(INT(MOD(ROUNDUP((64*G$5*($A11-1)/14),0),(64*64))/64)&gt;0,INT(MOD(ROUNDUP((64*G$5*($A11-1)/14),0),(64*64))/64)&amp;"叠","")&amp;IF(MOD(ROUNDUP((64*G$5*($A11-1)/14),0),64)&gt;0,MOD(ROUNDUP((64*G$5*($A11-1)/14),0),64)&amp;"个","")</f>
        <v>7叠46个</v>
      </c>
    </row>
    <row r="12" spans="1:7">
      <c r="A12" s="26">
        <v>4</v>
      </c>
      <c r="B12" s="26" t="str">
        <f>IF(INT(ROUNDUP((64*B$5*($A12-1)/14),0)/(64*64))&gt;0,INT(ROUNDUP((64*B$5*($A12-1)/14),0)/(64*64))&amp;"满叠","")&amp;IF(INT(MOD(ROUNDUP((64*B$5*($A12-1)/14),0),(64*64))/64)&gt;0,INT(MOD(ROUNDUP((64*B$5*($A12-1)/14),0),(64*64))/64)&amp;"叠","")&amp;IF(MOD(ROUNDUP((64*B$5*($A12-1)/14),0),64)&gt;0,MOD(ROUNDUP((64*B$5*($A12-1)/14),0),64)&amp;"个","")</f>
        <v>14个</v>
      </c>
      <c r="C12" s="26" t="str">
        <f>IF(INT(ROUNDUP((64*C$5*($A12-1)/14),0)/(64*64))&gt;0,INT(ROUNDUP((64*C$5*($A12-1)/14),0)/(64*64))&amp;"满叠","")&amp;IF(INT(MOD(ROUNDUP((64*C$5*($A12-1)/14),0),(64*64))/64)&gt;0,INT(MOD(ROUNDUP((64*C$5*($A12-1)/14),0),(64*64))/64)&amp;"叠","")&amp;IF(MOD(ROUNDUP((64*C$5*($A12-1)/14),0),64)&gt;0,MOD(ROUNDUP((64*C$5*($A12-1)/14),0),64)&amp;"个","")</f>
        <v>42个</v>
      </c>
      <c r="D12" s="26" t="str">
        <f>IF(INT(ROUNDUP((64*D$5*($A12-1)/14),0)/(64*64))&gt;0,INT(ROUNDUP((64*D$5*($A12-1)/14),0)/(64*64))&amp;"满叠","")&amp;IF(INT(MOD(ROUNDUP((64*D$5*($A12-1)/14),0),(64*64))/64)&gt;0,INT(MOD(ROUNDUP((64*D$5*($A12-1)/14),0),(64*64))/64)&amp;"叠","")&amp;IF(MOD(ROUNDUP((64*D$5*($A12-1)/14),0),64)&gt;0,MOD(ROUNDUP((64*D$5*($A12-1)/14),0),64)&amp;"个","")</f>
        <v>1叠5个</v>
      </c>
      <c r="E12" s="26" t="str">
        <f>IF(INT(ROUNDUP((64*E$5*($A12-1)/14),0)/(64*64))&gt;0,INT(ROUNDUP((64*E$5*($A12-1)/14),0)/(64*64))&amp;"满叠","")&amp;IF(INT(MOD(ROUNDUP((64*E$5*($A12-1)/14),0),(64*64))/64)&gt;0,INT(MOD(ROUNDUP((64*E$5*($A12-1)/14),0),(64*64))/64)&amp;"叠","")&amp;IF(MOD(ROUNDUP((64*E$5*($A12-1)/14),0),64)&gt;0,MOD(ROUNDUP((64*E$5*($A12-1)/14),0),64)&amp;"个","")</f>
        <v>1叠60个</v>
      </c>
      <c r="F12" s="26" t="str">
        <f>IF(INT(ROUNDUP((64*F$5*($A12-1)/14),0)/(64*64))&gt;0,INT(ROUNDUP((64*F$5*($A12-1)/14),0)/(64*64))&amp;"满叠","")&amp;IF(INT(MOD(ROUNDUP((64*F$5*($A12-1)/14),0),(64*64))/64)&gt;0,INT(MOD(ROUNDUP((64*F$5*($A12-1)/14),0),(64*64))/64)&amp;"叠","")&amp;IF(MOD(ROUNDUP((64*F$5*($A12-1)/14),0),64)&gt;0,MOD(ROUNDUP((64*F$5*($A12-1)/14),0),64)&amp;"个","")</f>
        <v>5叠51个</v>
      </c>
      <c r="G12" s="26" t="str">
        <f>IF(INT(ROUNDUP((64*G$5*($A12-1)/14),0)/(64*64))&gt;0,INT(ROUNDUP((64*G$5*($A12-1)/14),0)/(64*64))&amp;"满叠","")&amp;IF(INT(MOD(ROUNDUP((64*G$5*($A12-1)/14),0),(64*64))/64)&gt;0,INT(MOD(ROUNDUP((64*G$5*($A12-1)/14),0),(64*64))/64)&amp;"叠","")&amp;IF(MOD(ROUNDUP((64*G$5*($A12-1)/14),0),64)&gt;0,MOD(ROUNDUP((64*G$5*($A12-1)/14),0),64)&amp;"个","")</f>
        <v>11叠37个</v>
      </c>
    </row>
    <row r="13" spans="1:7">
      <c r="A13" s="26">
        <v>5</v>
      </c>
      <c r="B13" s="26" t="str">
        <f>IF(INT(ROUNDUP((64*B$5*($A13-1)/14),0)/(64*64))&gt;0,INT(ROUNDUP((64*B$5*($A13-1)/14),0)/(64*64))&amp;"满叠","")&amp;IF(INT(MOD(ROUNDUP((64*B$5*($A13-1)/14),0),(64*64))/64)&gt;0,INT(MOD(ROUNDUP((64*B$5*($A13-1)/14),0),(64*64))/64)&amp;"叠","")&amp;IF(MOD(ROUNDUP((64*B$5*($A13-1)/14),0),64)&gt;0,MOD(ROUNDUP((64*B$5*($A13-1)/14),0),64)&amp;"个","")</f>
        <v>19个</v>
      </c>
      <c r="C13" s="26" t="str">
        <f>IF(INT(ROUNDUP((64*C$5*($A13-1)/14),0)/(64*64))&gt;0,INT(ROUNDUP((64*C$5*($A13-1)/14),0)/(64*64))&amp;"满叠","")&amp;IF(INT(MOD(ROUNDUP((64*C$5*($A13-1)/14),0),(64*64))/64)&gt;0,INT(MOD(ROUNDUP((64*C$5*($A13-1)/14),0),(64*64))/64)&amp;"叠","")&amp;IF(MOD(ROUNDUP((64*C$5*($A13-1)/14),0),64)&gt;0,MOD(ROUNDUP((64*C$5*($A13-1)/14),0),64)&amp;"个","")</f>
        <v>55个</v>
      </c>
      <c r="D13" s="26" t="str">
        <f>IF(INT(ROUNDUP((64*D$5*($A13-1)/14),0)/(64*64))&gt;0,INT(ROUNDUP((64*D$5*($A13-1)/14),0)/(64*64))&amp;"满叠","")&amp;IF(INT(MOD(ROUNDUP((64*D$5*($A13-1)/14),0),(64*64))/64)&gt;0,INT(MOD(ROUNDUP((64*D$5*($A13-1)/14),0),(64*64))/64)&amp;"叠","")&amp;IF(MOD(ROUNDUP((64*D$5*($A13-1)/14),0),64)&gt;0,MOD(ROUNDUP((64*D$5*($A13-1)/14),0),64)&amp;"个","")</f>
        <v>1叠28个</v>
      </c>
      <c r="E13" s="26" t="str">
        <f>IF(INT(ROUNDUP((64*E$5*($A13-1)/14),0)/(64*64))&gt;0,INT(ROUNDUP((64*E$5*($A13-1)/14),0)/(64*64))&amp;"满叠","")&amp;IF(INT(MOD(ROUNDUP((64*E$5*($A13-1)/14),0),(64*64))/64)&gt;0,INT(MOD(ROUNDUP((64*E$5*($A13-1)/14),0),(64*64))/64)&amp;"叠","")&amp;IF(MOD(ROUNDUP((64*E$5*($A13-1)/14),0),64)&gt;0,MOD(ROUNDUP((64*E$5*($A13-1)/14),0),64)&amp;"个","")</f>
        <v>2叠37个</v>
      </c>
      <c r="F13" s="26" t="str">
        <f>IF(INT(ROUNDUP((64*F$5*($A13-1)/14),0)/(64*64))&gt;0,INT(ROUNDUP((64*F$5*($A13-1)/14),0)/(64*64))&amp;"满叠","")&amp;IF(INT(MOD(ROUNDUP((64*F$5*($A13-1)/14),0),(64*64))/64)&gt;0,INT(MOD(ROUNDUP((64*F$5*($A13-1)/14),0),(64*64))/64)&amp;"叠","")&amp;IF(MOD(ROUNDUP((64*F$5*($A13-1)/14),0),64)&gt;0,MOD(ROUNDUP((64*F$5*($A13-1)/14),0),64)&amp;"个","")</f>
        <v>7叠46个</v>
      </c>
      <c r="G13" s="26" t="str">
        <f>IF(INT(ROUNDUP((64*G$5*($A13-1)/14),0)/(64*64))&gt;0,INT(ROUNDUP((64*G$5*($A13-1)/14),0)/(64*64))&amp;"满叠","")&amp;IF(INT(MOD(ROUNDUP((64*G$5*($A13-1)/14),0),(64*64))/64)&gt;0,INT(MOD(ROUNDUP((64*G$5*($A13-1)/14),0),(64*64))/64)&amp;"叠","")&amp;IF(MOD(ROUNDUP((64*G$5*($A13-1)/14),0),64)&gt;0,MOD(ROUNDUP((64*G$5*($A13-1)/14),0),64)&amp;"个","")</f>
        <v>15叠28个</v>
      </c>
    </row>
    <row r="14" spans="1:7">
      <c r="A14" s="27">
        <v>6</v>
      </c>
      <c r="B14" s="27" t="str">
        <f>IF(INT(ROUNDUP((64*B$5*($A14-1)/14),0)/(64*64))&gt;0,INT(ROUNDUP((64*B$5*($A14-1)/14),0)/(64*64))&amp;"满叠","")&amp;IF(INT(MOD(ROUNDUP((64*B$5*($A14-1)/14),0),(64*64))/64)&gt;0,INT(MOD(ROUNDUP((64*B$5*($A14-1)/14),0),(64*64))/64)&amp;"叠","")&amp;IF(MOD(ROUNDUP((64*B$5*($A14-1)/14),0),64)&gt;0,MOD(ROUNDUP((64*B$5*($A14-1)/14),0),64)&amp;"个","")</f>
        <v>23个</v>
      </c>
      <c r="C14" s="27" t="str">
        <f>IF(INT(ROUNDUP((64*C$5*($A14-1)/14),0)/(64*64))&gt;0,INT(ROUNDUP((64*C$5*($A14-1)/14),0)/(64*64))&amp;"满叠","")&amp;IF(INT(MOD(ROUNDUP((64*C$5*($A14-1)/14),0),(64*64))/64)&gt;0,INT(MOD(ROUNDUP((64*C$5*($A14-1)/14),0),(64*64))/64)&amp;"叠","")&amp;IF(MOD(ROUNDUP((64*C$5*($A14-1)/14),0),64)&gt;0,MOD(ROUNDUP((64*C$5*($A14-1)/14),0),64)&amp;"个","")</f>
        <v>1叠5个</v>
      </c>
      <c r="D14" s="27" t="str">
        <f>IF(INT(ROUNDUP((64*D$5*($A14-1)/14),0)/(64*64))&gt;0,INT(ROUNDUP((64*D$5*($A14-1)/14),0)/(64*64))&amp;"满叠","")&amp;IF(INT(MOD(ROUNDUP((64*D$5*($A14-1)/14),0),(64*64))/64)&gt;0,INT(MOD(ROUNDUP((64*D$5*($A14-1)/14),0),(64*64))/64)&amp;"叠","")&amp;IF(MOD(ROUNDUP((64*D$5*($A14-1)/14),0),64)&gt;0,MOD(ROUNDUP((64*D$5*($A14-1)/14),0),64)&amp;"个","")</f>
        <v>1叠51个</v>
      </c>
      <c r="E14" s="27" t="str">
        <f>IF(INT(ROUNDUP((64*E$5*($A14-1)/14),0)/(64*64))&gt;0,INT(ROUNDUP((64*E$5*($A14-1)/14),0)/(64*64))&amp;"满叠","")&amp;IF(INT(MOD(ROUNDUP((64*E$5*($A14-1)/14),0),(64*64))/64)&gt;0,INT(MOD(ROUNDUP((64*E$5*($A14-1)/14),0),(64*64))/64)&amp;"叠","")&amp;IF(MOD(ROUNDUP((64*E$5*($A14-1)/14),0),64)&gt;0,MOD(ROUNDUP((64*E$5*($A14-1)/14),0),64)&amp;"个","")</f>
        <v>3叠14个</v>
      </c>
      <c r="F14" s="27" t="str">
        <f>IF(INT(ROUNDUP((64*F$5*($A14-1)/14),0)/(64*64))&gt;0,INT(ROUNDUP((64*F$5*($A14-1)/14),0)/(64*64))&amp;"满叠","")&amp;IF(INT(MOD(ROUNDUP((64*F$5*($A14-1)/14),0),(64*64))/64)&gt;0,INT(MOD(ROUNDUP((64*F$5*($A14-1)/14),0),(64*64))/64)&amp;"叠","")&amp;IF(MOD(ROUNDUP((64*F$5*($A14-1)/14),0),64)&gt;0,MOD(ROUNDUP((64*F$5*($A14-1)/14),0),64)&amp;"个","")</f>
        <v>9叠42个</v>
      </c>
      <c r="G14" s="27" t="str">
        <f>IF(INT(ROUNDUP((64*G$5*($A14-1)/14),0)/(64*64))&gt;0,INT(ROUNDUP((64*G$5*($A14-1)/14),0)/(64*64))&amp;"满叠","")&amp;IF(INT(MOD(ROUNDUP((64*G$5*($A14-1)/14),0),(64*64))/64)&gt;0,INT(MOD(ROUNDUP((64*G$5*($A14-1)/14),0),(64*64))/64)&amp;"叠","")&amp;IF(MOD(ROUNDUP((64*G$5*($A14-1)/14),0),64)&gt;0,MOD(ROUNDUP((64*G$5*($A14-1)/14),0),64)&amp;"个","")</f>
        <v>19叠19个</v>
      </c>
    </row>
    <row r="15" spans="1:7">
      <c r="A15" s="27">
        <v>7</v>
      </c>
      <c r="B15" s="27" t="str">
        <f>IF(INT(ROUNDUP((64*B$5*($A15-1)/14),0)/(64*64))&gt;0,INT(ROUNDUP((64*B$5*($A15-1)/14),0)/(64*64))&amp;"满叠","")&amp;IF(INT(MOD(ROUNDUP((64*B$5*($A15-1)/14),0),(64*64))/64)&gt;0,INT(MOD(ROUNDUP((64*B$5*($A15-1)/14),0),(64*64))/64)&amp;"叠","")&amp;IF(MOD(ROUNDUP((64*B$5*($A15-1)/14),0),64)&gt;0,MOD(ROUNDUP((64*B$5*($A15-1)/14),0),64)&amp;"个","")</f>
        <v>28个</v>
      </c>
      <c r="C15" s="27" t="str">
        <f>IF(INT(ROUNDUP((64*C$5*($A15-1)/14),0)/(64*64))&gt;0,INT(ROUNDUP((64*C$5*($A15-1)/14),0)/(64*64))&amp;"满叠","")&amp;IF(INT(MOD(ROUNDUP((64*C$5*($A15-1)/14),0),(64*64))/64)&gt;0,INT(MOD(ROUNDUP((64*C$5*($A15-1)/14),0),(64*64))/64)&amp;"叠","")&amp;IF(MOD(ROUNDUP((64*C$5*($A15-1)/14),0),64)&gt;0,MOD(ROUNDUP((64*C$5*($A15-1)/14),0),64)&amp;"个","")</f>
        <v>1叠19个</v>
      </c>
      <c r="D15" s="27" t="str">
        <f>IF(INT(ROUNDUP((64*D$5*($A15-1)/14),0)/(64*64))&gt;0,INT(ROUNDUP((64*D$5*($A15-1)/14),0)/(64*64))&amp;"满叠","")&amp;IF(INT(MOD(ROUNDUP((64*D$5*($A15-1)/14),0),(64*64))/64)&gt;0,INT(MOD(ROUNDUP((64*D$5*($A15-1)/14),0),(64*64))/64)&amp;"叠","")&amp;IF(MOD(ROUNDUP((64*D$5*($A15-1)/14),0),64)&gt;0,MOD(ROUNDUP((64*D$5*($A15-1)/14),0),64)&amp;"个","")</f>
        <v>2叠10个</v>
      </c>
      <c r="E15" s="27" t="str">
        <f>IF(INT(ROUNDUP((64*E$5*($A15-1)/14),0)/(64*64))&gt;0,INT(ROUNDUP((64*E$5*($A15-1)/14),0)/(64*64))&amp;"满叠","")&amp;IF(INT(MOD(ROUNDUP((64*E$5*($A15-1)/14),0),(64*64))/64)&gt;0,INT(MOD(ROUNDUP((64*E$5*($A15-1)/14),0),(64*64))/64)&amp;"叠","")&amp;IF(MOD(ROUNDUP((64*E$5*($A15-1)/14),0),64)&gt;0,MOD(ROUNDUP((64*E$5*($A15-1)/14),0),64)&amp;"个","")</f>
        <v>3叠55个</v>
      </c>
      <c r="F15" s="27" t="str">
        <f>IF(INT(ROUNDUP((64*F$5*($A15-1)/14),0)/(64*64))&gt;0,INT(ROUNDUP((64*F$5*($A15-1)/14),0)/(64*64))&amp;"满叠","")&amp;IF(INT(MOD(ROUNDUP((64*F$5*($A15-1)/14),0),(64*64))/64)&gt;0,INT(MOD(ROUNDUP((64*F$5*($A15-1)/14),0),(64*64))/64)&amp;"叠","")&amp;IF(MOD(ROUNDUP((64*F$5*($A15-1)/14),0),64)&gt;0,MOD(ROUNDUP((64*F$5*($A15-1)/14),0),64)&amp;"个","")</f>
        <v>11叠37个</v>
      </c>
      <c r="G15" s="27" t="str">
        <f>IF(INT(ROUNDUP((64*G$5*($A15-1)/14),0)/(64*64))&gt;0,INT(ROUNDUP((64*G$5*($A15-1)/14),0)/(64*64))&amp;"满叠","")&amp;IF(INT(MOD(ROUNDUP((64*G$5*($A15-1)/14),0),(64*64))/64)&gt;0,INT(MOD(ROUNDUP((64*G$5*($A15-1)/14),0),(64*64))/64)&amp;"叠","")&amp;IF(MOD(ROUNDUP((64*G$5*($A15-1)/14),0),64)&gt;0,MOD(ROUNDUP((64*G$5*($A15-1)/14),0),64)&amp;"个","")</f>
        <v>23叠10个</v>
      </c>
    </row>
    <row r="16" spans="1:7">
      <c r="A16" s="34">
        <v>8</v>
      </c>
      <c r="B16" s="34" t="str">
        <f>IF(INT(ROUNDUP((64*B$5*($A16-1)/14),0)/(64*64))&gt;0,INT(ROUNDUP((64*B$5*($A16-1)/14),0)/(64*64))&amp;"满叠","")&amp;IF(INT(MOD(ROUNDUP((64*B$5*($A16-1)/14),0),(64*64))/64)&gt;0,INT(MOD(ROUNDUP((64*B$5*($A16-1)/14),0),(64*64))/64)&amp;"叠","")&amp;IF(MOD(ROUNDUP((64*B$5*($A16-1)/14),0),64)&gt;0,MOD(ROUNDUP((64*B$5*($A16-1)/14),0),64)&amp;"个","")</f>
        <v>32个</v>
      </c>
      <c r="C16" s="34" t="str">
        <f>IF(INT(ROUNDUP((64*C$5*($A16-1)/14),0)/(64*64))&gt;0,INT(ROUNDUP((64*C$5*($A16-1)/14),0)/(64*64))&amp;"满叠","")&amp;IF(INT(MOD(ROUNDUP((64*C$5*($A16-1)/14),0),(64*64))/64)&gt;0,INT(MOD(ROUNDUP((64*C$5*($A16-1)/14),0),(64*64))/64)&amp;"叠","")&amp;IF(MOD(ROUNDUP((64*C$5*($A16-1)/14),0),64)&gt;0,MOD(ROUNDUP((64*C$5*($A16-1)/14),0),64)&amp;"个","")</f>
        <v>1叠32个</v>
      </c>
      <c r="D16" s="34" t="str">
        <f>IF(INT(ROUNDUP((64*D$5*($A16-1)/14),0)/(64*64))&gt;0,INT(ROUNDUP((64*D$5*($A16-1)/14),0)/(64*64))&amp;"满叠","")&amp;IF(INT(MOD(ROUNDUP((64*D$5*($A16-1)/14),0),(64*64))/64)&gt;0,INT(MOD(ROUNDUP((64*D$5*($A16-1)/14),0),(64*64))/64)&amp;"叠","")&amp;IF(MOD(ROUNDUP((64*D$5*($A16-1)/14),0),64)&gt;0,MOD(ROUNDUP((64*D$5*($A16-1)/14),0),64)&amp;"个","")</f>
        <v>2叠32个</v>
      </c>
      <c r="E16" s="34" t="str">
        <f>IF(INT(ROUNDUP((64*E$5*($A16-1)/14),0)/(64*64))&gt;0,INT(ROUNDUP((64*E$5*($A16-1)/14),0)/(64*64))&amp;"满叠","")&amp;IF(INT(MOD(ROUNDUP((64*E$5*($A16-1)/14),0),(64*64))/64)&gt;0,INT(MOD(ROUNDUP((64*E$5*($A16-1)/14),0),(64*64))/64)&amp;"叠","")&amp;IF(MOD(ROUNDUP((64*E$5*($A16-1)/14),0),64)&gt;0,MOD(ROUNDUP((64*E$5*($A16-1)/14),0),64)&amp;"个","")</f>
        <v>4叠32个</v>
      </c>
      <c r="F16" s="34" t="str">
        <f>IF(INT(ROUNDUP((64*F$5*($A16-1)/14),0)/(64*64))&gt;0,INT(ROUNDUP((64*F$5*($A16-1)/14),0)/(64*64))&amp;"满叠","")&amp;IF(INT(MOD(ROUNDUP((64*F$5*($A16-1)/14),0),(64*64))/64)&gt;0,INT(MOD(ROUNDUP((64*F$5*($A16-1)/14),0),(64*64))/64)&amp;"叠","")&amp;IF(MOD(ROUNDUP((64*F$5*($A16-1)/14),0),64)&gt;0,MOD(ROUNDUP((64*F$5*($A16-1)/14),0),64)&amp;"个","")</f>
        <v>13叠32个</v>
      </c>
      <c r="G16" s="34" t="str">
        <f>IF(INT(ROUNDUP((64*G$5*($A16-1)/14),0)/(64*64))&gt;0,INT(ROUNDUP((64*G$5*($A16-1)/14),0)/(64*64))&amp;"满叠","")&amp;IF(INT(MOD(ROUNDUP((64*G$5*($A16-1)/14),0),(64*64))/64)&gt;0,INT(MOD(ROUNDUP((64*G$5*($A16-1)/14),0),(64*64))/64)&amp;"叠","")&amp;IF(MOD(ROUNDUP((64*G$5*($A16-1)/14),0),64)&gt;0,MOD(ROUNDUP((64*G$5*($A16-1)/14),0),64)&amp;"个","")</f>
        <v>27叠</v>
      </c>
    </row>
    <row r="17" spans="1:7">
      <c r="A17" s="29">
        <v>9</v>
      </c>
      <c r="B17" s="29" t="str">
        <f>IF(INT(ROUNDUP((64*B$5*($A17-1)/14),0)/(64*64))&gt;0,INT(ROUNDUP((64*B$5*($A17-1)/14),0)/(64*64))&amp;"满叠","")&amp;IF(INT(MOD(ROUNDUP((64*B$5*($A17-1)/14),0),(64*64))/64)&gt;0,INT(MOD(ROUNDUP((64*B$5*($A17-1)/14),0),(64*64))/64)&amp;"叠","")&amp;IF(MOD(ROUNDUP((64*B$5*($A17-1)/14),0),64)&gt;0,MOD(ROUNDUP((64*B$5*($A17-1)/14),0),64)&amp;"个","")</f>
        <v>37个</v>
      </c>
      <c r="C17" s="29" t="str">
        <f>IF(INT(ROUNDUP((64*C$5*($A17-1)/14),0)/(64*64))&gt;0,INT(ROUNDUP((64*C$5*($A17-1)/14),0)/(64*64))&amp;"满叠","")&amp;IF(INT(MOD(ROUNDUP((64*C$5*($A17-1)/14),0),(64*64))/64)&gt;0,INT(MOD(ROUNDUP((64*C$5*($A17-1)/14),0),(64*64))/64)&amp;"叠","")&amp;IF(MOD(ROUNDUP((64*C$5*($A17-1)/14),0),64)&gt;0,MOD(ROUNDUP((64*C$5*($A17-1)/14),0),64)&amp;"个","")</f>
        <v>1叠46个</v>
      </c>
      <c r="D17" s="29" t="str">
        <f>IF(INT(ROUNDUP((64*D$5*($A17-1)/14),0)/(64*64))&gt;0,INT(ROUNDUP((64*D$5*($A17-1)/14),0)/(64*64))&amp;"满叠","")&amp;IF(INT(MOD(ROUNDUP((64*D$5*($A17-1)/14),0),(64*64))/64)&gt;0,INT(MOD(ROUNDUP((64*D$5*($A17-1)/14),0),(64*64))/64)&amp;"叠","")&amp;IF(MOD(ROUNDUP((64*D$5*($A17-1)/14),0),64)&gt;0,MOD(ROUNDUP((64*D$5*($A17-1)/14),0),64)&amp;"个","")</f>
        <v>2叠55个</v>
      </c>
      <c r="E17" s="29" t="str">
        <f>IF(INT(ROUNDUP((64*E$5*($A17-1)/14),0)/(64*64))&gt;0,INT(ROUNDUP((64*E$5*($A17-1)/14),0)/(64*64))&amp;"满叠","")&amp;IF(INT(MOD(ROUNDUP((64*E$5*($A17-1)/14),0),(64*64))/64)&gt;0,INT(MOD(ROUNDUP((64*E$5*($A17-1)/14),0),(64*64))/64)&amp;"叠","")&amp;IF(MOD(ROUNDUP((64*E$5*($A17-1)/14),0),64)&gt;0,MOD(ROUNDUP((64*E$5*($A17-1)/14),0),64)&amp;"个","")</f>
        <v>5叠10个</v>
      </c>
      <c r="F17" s="29" t="str">
        <f>IF(INT(ROUNDUP((64*F$5*($A17-1)/14),0)/(64*64))&gt;0,INT(ROUNDUP((64*F$5*($A17-1)/14),0)/(64*64))&amp;"满叠","")&amp;IF(INT(MOD(ROUNDUP((64*F$5*($A17-1)/14),0),(64*64))/64)&gt;0,INT(MOD(ROUNDUP((64*F$5*($A17-1)/14),0),(64*64))/64)&amp;"叠","")&amp;IF(MOD(ROUNDUP((64*F$5*($A17-1)/14),0),64)&gt;0,MOD(ROUNDUP((64*F$5*($A17-1)/14),0),64)&amp;"个","")</f>
        <v>15叠28个</v>
      </c>
      <c r="G17" s="29" t="str">
        <f>IF(INT(ROUNDUP((64*G$5*($A17-1)/14),0)/(64*64))&gt;0,INT(ROUNDUP((64*G$5*($A17-1)/14),0)/(64*64))&amp;"满叠","")&amp;IF(INT(MOD(ROUNDUP((64*G$5*($A17-1)/14),0),(64*64))/64)&gt;0,INT(MOD(ROUNDUP((64*G$5*($A17-1)/14),0),(64*64))/64)&amp;"叠","")&amp;IF(MOD(ROUNDUP((64*G$5*($A17-1)/14),0),64)&gt;0,MOD(ROUNDUP((64*G$5*($A17-1)/14),0),64)&amp;"个","")</f>
        <v>30叠55个</v>
      </c>
    </row>
    <row r="18" spans="1:7">
      <c r="A18" s="29">
        <v>10</v>
      </c>
      <c r="B18" s="29" t="str">
        <f>IF(INT(ROUNDUP((64*B$5*($A18-1)/14),0)/(64*64))&gt;0,INT(ROUNDUP((64*B$5*($A18-1)/14),0)/(64*64))&amp;"满叠","")&amp;IF(INT(MOD(ROUNDUP((64*B$5*($A18-1)/14),0),(64*64))/64)&gt;0,INT(MOD(ROUNDUP((64*B$5*($A18-1)/14),0),(64*64))/64)&amp;"叠","")&amp;IF(MOD(ROUNDUP((64*B$5*($A18-1)/14),0),64)&gt;0,MOD(ROUNDUP((64*B$5*($A18-1)/14),0),64)&amp;"个","")</f>
        <v>42个</v>
      </c>
      <c r="C18" s="29" t="str">
        <f>IF(INT(ROUNDUP((64*C$5*($A18-1)/14),0)/(64*64))&gt;0,INT(ROUNDUP((64*C$5*($A18-1)/14),0)/(64*64))&amp;"满叠","")&amp;IF(INT(MOD(ROUNDUP((64*C$5*($A18-1)/14),0),(64*64))/64)&gt;0,INT(MOD(ROUNDUP((64*C$5*($A18-1)/14),0),(64*64))/64)&amp;"叠","")&amp;IF(MOD(ROUNDUP((64*C$5*($A18-1)/14),0),64)&gt;0,MOD(ROUNDUP((64*C$5*($A18-1)/14),0),64)&amp;"个","")</f>
        <v>1叠60个</v>
      </c>
      <c r="D18" s="29" t="str">
        <f>IF(INT(ROUNDUP((64*D$5*($A18-1)/14),0)/(64*64))&gt;0,INT(ROUNDUP((64*D$5*($A18-1)/14),0)/(64*64))&amp;"满叠","")&amp;IF(INT(MOD(ROUNDUP((64*D$5*($A18-1)/14),0),(64*64))/64)&gt;0,INT(MOD(ROUNDUP((64*D$5*($A18-1)/14),0),(64*64))/64)&amp;"叠","")&amp;IF(MOD(ROUNDUP((64*D$5*($A18-1)/14),0),64)&gt;0,MOD(ROUNDUP((64*D$5*($A18-1)/14),0),64)&amp;"个","")</f>
        <v>3叠14个</v>
      </c>
      <c r="E18" s="29" t="str">
        <f>IF(INT(ROUNDUP((64*E$5*($A18-1)/14),0)/(64*64))&gt;0,INT(ROUNDUP((64*E$5*($A18-1)/14),0)/(64*64))&amp;"满叠","")&amp;IF(INT(MOD(ROUNDUP((64*E$5*($A18-1)/14),0),(64*64))/64)&gt;0,INT(MOD(ROUNDUP((64*E$5*($A18-1)/14),0),(64*64))/64)&amp;"叠","")&amp;IF(MOD(ROUNDUP((64*E$5*($A18-1)/14),0),64)&gt;0,MOD(ROUNDUP((64*E$5*($A18-1)/14),0),64)&amp;"个","")</f>
        <v>5叠51个</v>
      </c>
      <c r="F18" s="29" t="str">
        <f>IF(INT(ROUNDUP((64*F$5*($A18-1)/14),0)/(64*64))&gt;0,INT(ROUNDUP((64*F$5*($A18-1)/14),0)/(64*64))&amp;"满叠","")&amp;IF(INT(MOD(ROUNDUP((64*F$5*($A18-1)/14),0),(64*64))/64)&gt;0,INT(MOD(ROUNDUP((64*F$5*($A18-1)/14),0),(64*64))/64)&amp;"叠","")&amp;IF(MOD(ROUNDUP((64*F$5*($A18-1)/14),0),64)&gt;0,MOD(ROUNDUP((64*F$5*($A18-1)/14),0),64)&amp;"个","")</f>
        <v>17叠23个</v>
      </c>
      <c r="G18" s="29" t="str">
        <f>IF(INT(ROUNDUP((64*G$5*($A18-1)/14),0)/(64*64))&gt;0,INT(ROUNDUP((64*G$5*($A18-1)/14),0)/(64*64))&amp;"满叠","")&amp;IF(INT(MOD(ROUNDUP((64*G$5*($A18-1)/14),0),(64*64))/64)&gt;0,INT(MOD(ROUNDUP((64*G$5*($A18-1)/14),0),(64*64))/64)&amp;"叠","")&amp;IF(MOD(ROUNDUP((64*G$5*($A18-1)/14),0),64)&gt;0,MOD(ROUNDUP((64*G$5*($A18-1)/14),0),64)&amp;"个","")</f>
        <v>34叠46个</v>
      </c>
    </row>
    <row r="19" spans="1:7">
      <c r="A19" s="30">
        <v>11</v>
      </c>
      <c r="B19" s="30" t="str">
        <f>IF(INT(ROUNDUP((64*B$5*($A19-1)/14),0)/(64*64))&gt;0,INT(ROUNDUP((64*B$5*($A19-1)/14),0)/(64*64))&amp;"满叠","")&amp;IF(INT(MOD(ROUNDUP((64*B$5*($A19-1)/14),0),(64*64))/64)&gt;0,INT(MOD(ROUNDUP((64*B$5*($A19-1)/14),0),(64*64))/64)&amp;"叠","")&amp;IF(MOD(ROUNDUP((64*B$5*($A19-1)/14),0),64)&gt;0,MOD(ROUNDUP((64*B$5*($A19-1)/14),0),64)&amp;"个","")</f>
        <v>46个</v>
      </c>
      <c r="C19" s="30" t="str">
        <f>IF(INT(ROUNDUP((64*C$5*($A19-1)/14),0)/(64*64))&gt;0,INT(ROUNDUP((64*C$5*($A19-1)/14),0)/(64*64))&amp;"满叠","")&amp;IF(INT(MOD(ROUNDUP((64*C$5*($A19-1)/14),0),(64*64))/64)&gt;0,INT(MOD(ROUNDUP((64*C$5*($A19-1)/14),0),(64*64))/64)&amp;"叠","")&amp;IF(MOD(ROUNDUP((64*C$5*($A19-1)/14),0),64)&gt;0,MOD(ROUNDUP((64*C$5*($A19-1)/14),0),64)&amp;"个","")</f>
        <v>2叠10个</v>
      </c>
      <c r="D19" s="30" t="str">
        <f>IF(INT(ROUNDUP((64*D$5*($A19-1)/14),0)/(64*64))&gt;0,INT(ROUNDUP((64*D$5*($A19-1)/14),0)/(64*64))&amp;"满叠","")&amp;IF(INT(MOD(ROUNDUP((64*D$5*($A19-1)/14),0),(64*64))/64)&gt;0,INT(MOD(ROUNDUP((64*D$5*($A19-1)/14),0),(64*64))/64)&amp;"叠","")&amp;IF(MOD(ROUNDUP((64*D$5*($A19-1)/14),0),64)&gt;0,MOD(ROUNDUP((64*D$5*($A19-1)/14),0),64)&amp;"个","")</f>
        <v>3叠37个</v>
      </c>
      <c r="E19" s="30" t="str">
        <f>IF(INT(ROUNDUP((64*E$5*($A19-1)/14),0)/(64*64))&gt;0,INT(ROUNDUP((64*E$5*($A19-1)/14),0)/(64*64))&amp;"满叠","")&amp;IF(INT(MOD(ROUNDUP((64*E$5*($A19-1)/14),0),(64*64))/64)&gt;0,INT(MOD(ROUNDUP((64*E$5*($A19-1)/14),0),(64*64))/64)&amp;"叠","")&amp;IF(MOD(ROUNDUP((64*E$5*($A19-1)/14),0),64)&gt;0,MOD(ROUNDUP((64*E$5*($A19-1)/14),0),64)&amp;"个","")</f>
        <v>6叠28个</v>
      </c>
      <c r="F19" s="30" t="str">
        <f>IF(INT(ROUNDUP((64*F$5*($A19-1)/14),0)/(64*64))&gt;0,INT(ROUNDUP((64*F$5*($A19-1)/14),0)/(64*64))&amp;"满叠","")&amp;IF(INT(MOD(ROUNDUP((64*F$5*($A19-1)/14),0),(64*64))/64)&gt;0,INT(MOD(ROUNDUP((64*F$5*($A19-1)/14),0),(64*64))/64)&amp;"叠","")&amp;IF(MOD(ROUNDUP((64*F$5*($A19-1)/14),0),64)&gt;0,MOD(ROUNDUP((64*F$5*($A19-1)/14),0),64)&amp;"个","")</f>
        <v>19叠19个</v>
      </c>
      <c r="G19" s="30" t="str">
        <f>IF(INT(ROUNDUP((64*G$5*($A19-1)/14),0)/(64*64))&gt;0,INT(ROUNDUP((64*G$5*($A19-1)/14),0)/(64*64))&amp;"满叠","")&amp;IF(INT(MOD(ROUNDUP((64*G$5*($A19-1)/14),0),(64*64))/64)&gt;0,INT(MOD(ROUNDUP((64*G$5*($A19-1)/14),0),(64*64))/64)&amp;"叠","")&amp;IF(MOD(ROUNDUP((64*G$5*($A19-1)/14),0),64)&gt;0,MOD(ROUNDUP((64*G$5*($A19-1)/14),0),64)&amp;"个","")</f>
        <v>38叠37个</v>
      </c>
    </row>
    <row r="20" spans="1:7">
      <c r="A20" s="30">
        <v>12</v>
      </c>
      <c r="B20" s="30" t="str">
        <f>IF(INT(ROUNDUP((64*B$5*($A20-1)/14),0)/(64*64))&gt;0,INT(ROUNDUP((64*B$5*($A20-1)/14),0)/(64*64))&amp;"满叠","")&amp;IF(INT(MOD(ROUNDUP((64*B$5*($A20-1)/14),0),(64*64))/64)&gt;0,INT(MOD(ROUNDUP((64*B$5*($A20-1)/14),0),(64*64))/64)&amp;"叠","")&amp;IF(MOD(ROUNDUP((64*B$5*($A20-1)/14),0),64)&gt;0,MOD(ROUNDUP((64*B$5*($A20-1)/14),0),64)&amp;"个","")</f>
        <v>51个</v>
      </c>
      <c r="C20" s="30" t="str">
        <f>IF(INT(ROUNDUP((64*C$5*($A20-1)/14),0)/(64*64))&gt;0,INT(ROUNDUP((64*C$5*($A20-1)/14),0)/(64*64))&amp;"满叠","")&amp;IF(INT(MOD(ROUNDUP((64*C$5*($A20-1)/14),0),(64*64))/64)&gt;0,INT(MOD(ROUNDUP((64*C$5*($A20-1)/14),0),(64*64))/64)&amp;"叠","")&amp;IF(MOD(ROUNDUP((64*C$5*($A20-1)/14),0),64)&gt;0,MOD(ROUNDUP((64*C$5*($A20-1)/14),0),64)&amp;"个","")</f>
        <v>2叠23个</v>
      </c>
      <c r="D20" s="30" t="str">
        <f>IF(INT(ROUNDUP((64*D$5*($A20-1)/14),0)/(64*64))&gt;0,INT(ROUNDUP((64*D$5*($A20-1)/14),0)/(64*64))&amp;"满叠","")&amp;IF(INT(MOD(ROUNDUP((64*D$5*($A20-1)/14),0),(64*64))/64)&gt;0,INT(MOD(ROUNDUP((64*D$5*($A20-1)/14),0),(64*64))/64)&amp;"叠","")&amp;IF(MOD(ROUNDUP((64*D$5*($A20-1)/14),0),64)&gt;0,MOD(ROUNDUP((64*D$5*($A20-1)/14),0),64)&amp;"个","")</f>
        <v>3叠60个</v>
      </c>
      <c r="E20" s="30" t="str">
        <f>IF(INT(ROUNDUP((64*E$5*($A20-1)/14),0)/(64*64))&gt;0,INT(ROUNDUP((64*E$5*($A20-1)/14),0)/(64*64))&amp;"满叠","")&amp;IF(INT(MOD(ROUNDUP((64*E$5*($A20-1)/14),0),(64*64))/64)&gt;0,INT(MOD(ROUNDUP((64*E$5*($A20-1)/14),0),(64*64))/64)&amp;"叠","")&amp;IF(MOD(ROUNDUP((64*E$5*($A20-1)/14),0),64)&gt;0,MOD(ROUNDUP((64*E$5*($A20-1)/14),0),64)&amp;"个","")</f>
        <v>7叠5个</v>
      </c>
      <c r="F20" s="30" t="str">
        <f>IF(INT(ROUNDUP((64*F$5*($A20-1)/14),0)/(64*64))&gt;0,INT(ROUNDUP((64*F$5*($A20-1)/14),0)/(64*64))&amp;"满叠","")&amp;IF(INT(MOD(ROUNDUP((64*F$5*($A20-1)/14),0),(64*64))/64)&gt;0,INT(MOD(ROUNDUP((64*F$5*($A20-1)/14),0),(64*64))/64)&amp;"叠","")&amp;IF(MOD(ROUNDUP((64*F$5*($A20-1)/14),0),64)&gt;0,MOD(ROUNDUP((64*F$5*($A20-1)/14),0),64)&amp;"个","")</f>
        <v>21叠14个</v>
      </c>
      <c r="G20" s="30" t="str">
        <f>IF(INT(ROUNDUP((64*G$5*($A20-1)/14),0)/(64*64))&gt;0,INT(ROUNDUP((64*G$5*($A20-1)/14),0)/(64*64))&amp;"满叠","")&amp;IF(INT(MOD(ROUNDUP((64*G$5*($A20-1)/14),0),(64*64))/64)&gt;0,INT(MOD(ROUNDUP((64*G$5*($A20-1)/14),0),(64*64))/64)&amp;"叠","")&amp;IF(MOD(ROUNDUP((64*G$5*($A20-1)/14),0),64)&gt;0,MOD(ROUNDUP((64*G$5*($A20-1)/14),0),64)&amp;"个","")</f>
        <v>42叠28个</v>
      </c>
    </row>
    <row r="21" spans="1:7">
      <c r="A21" s="31">
        <v>13</v>
      </c>
      <c r="B21" s="32" t="str">
        <f>IF(INT(ROUNDUP((64*B$5*($A21-1)/14),0)/(64*64))&gt;0,INT(ROUNDUP((64*B$5*($A21-1)/14),0)/(64*64))&amp;"满叠","")&amp;IF(INT(MOD(ROUNDUP((64*B$5*($A21-1)/14),0),(64*64))/64)&gt;0,INT(MOD(ROUNDUP((64*B$5*($A21-1)/14),0),(64*64))/64)&amp;"叠","")&amp;IF(MOD(ROUNDUP((64*B$5*($A21-1)/14),0),64)&gt;0,MOD(ROUNDUP((64*B$5*($A21-1)/14),0),64)&amp;"个","")</f>
        <v>55个</v>
      </c>
      <c r="C21" s="32" t="str">
        <f>IF(INT(ROUNDUP((64*C$5*($A21-1)/14),0)/(64*64))&gt;0,INT(ROUNDUP((64*C$5*($A21-1)/14),0)/(64*64))&amp;"满叠","")&amp;IF(INT(MOD(ROUNDUP((64*C$5*($A21-1)/14),0),(64*64))/64)&gt;0,INT(MOD(ROUNDUP((64*C$5*($A21-1)/14),0),(64*64))/64)&amp;"叠","")&amp;IF(MOD(ROUNDUP((64*C$5*($A21-1)/14),0),64)&gt;0,MOD(ROUNDUP((64*C$5*($A21-1)/14),0),64)&amp;"个","")</f>
        <v>2叠37个</v>
      </c>
      <c r="D21" s="32" t="str">
        <f>IF(INT(ROUNDUP((64*D$5*($A21-1)/14),0)/(64*64))&gt;0,INT(ROUNDUP((64*D$5*($A21-1)/14),0)/(64*64))&amp;"满叠","")&amp;IF(INT(MOD(ROUNDUP((64*D$5*($A21-1)/14),0),(64*64))/64)&gt;0,INT(MOD(ROUNDUP((64*D$5*($A21-1)/14),0),(64*64))/64)&amp;"叠","")&amp;IF(MOD(ROUNDUP((64*D$5*($A21-1)/14),0),64)&gt;0,MOD(ROUNDUP((64*D$5*($A21-1)/14),0),64)&amp;"个","")</f>
        <v>4叠19个</v>
      </c>
      <c r="E21" s="32" t="str">
        <f>IF(INT(ROUNDUP((64*E$5*($A21-1)/14),0)/(64*64))&gt;0,INT(ROUNDUP((64*E$5*($A21-1)/14),0)/(64*64))&amp;"满叠","")&amp;IF(INT(MOD(ROUNDUP((64*E$5*($A21-1)/14),0),(64*64))/64)&gt;0,INT(MOD(ROUNDUP((64*E$5*($A21-1)/14),0),(64*64))/64)&amp;"叠","")&amp;IF(MOD(ROUNDUP((64*E$5*($A21-1)/14),0),64)&gt;0,MOD(ROUNDUP((64*E$5*($A21-1)/14),0),64)&amp;"个","")</f>
        <v>7叠46个</v>
      </c>
      <c r="F21" s="32" t="str">
        <f>IF(INT(ROUNDUP((64*F$5*($A21-1)/14),0)/(64*64))&gt;0,INT(ROUNDUP((64*F$5*($A21-1)/14),0)/(64*64))&amp;"满叠","")&amp;IF(INT(MOD(ROUNDUP((64*F$5*($A21-1)/14),0),(64*64))/64)&gt;0,INT(MOD(ROUNDUP((64*F$5*($A21-1)/14),0),(64*64))/64)&amp;"叠","")&amp;IF(MOD(ROUNDUP((64*F$5*($A21-1)/14),0),64)&gt;0,MOD(ROUNDUP((64*F$5*($A21-1)/14),0),64)&amp;"个","")</f>
        <v>23叠10个</v>
      </c>
      <c r="G21" s="32" t="str">
        <f>IF(INT(ROUNDUP((64*G$5*($A21-1)/14),0)/(64*64))&gt;0,INT(ROUNDUP((64*G$5*($A21-1)/14),0)/(64*64))&amp;"满叠","")&amp;IF(INT(MOD(ROUNDUP((64*G$5*($A21-1)/14),0),(64*64))/64)&gt;0,INT(MOD(ROUNDUP((64*G$5*($A21-1)/14),0),(64*64))/64)&amp;"叠","")&amp;IF(MOD(ROUNDUP((64*G$5*($A21-1)/14),0),64)&gt;0,MOD(ROUNDUP((64*G$5*($A21-1)/14),0),64)&amp;"个","")</f>
        <v>46叠19个</v>
      </c>
    </row>
    <row r="22" spans="1:7">
      <c r="A22" s="31">
        <v>14</v>
      </c>
      <c r="B22" s="32" t="str">
        <f>IF(INT(ROUNDUP((64*B$5*($A22-1)/14),0)/(64*64))&gt;0,INT(ROUNDUP((64*B$5*($A22-1)/14),0)/(64*64))&amp;"满叠","")&amp;IF(INT(MOD(ROUNDUP((64*B$5*($A22-1)/14),0),(64*64))/64)&gt;0,INT(MOD(ROUNDUP((64*B$5*($A22-1)/14),0),(64*64))/64)&amp;"叠","")&amp;IF(MOD(ROUNDUP((64*B$5*($A22-1)/14),0),64)&gt;0,MOD(ROUNDUP((64*B$5*($A22-1)/14),0),64)&amp;"个","")</f>
        <v>60个</v>
      </c>
      <c r="C22" s="32" t="str">
        <f>IF(INT(ROUNDUP((64*C$5*($A22-1)/14),0)/(64*64))&gt;0,INT(ROUNDUP((64*C$5*($A22-1)/14),0)/(64*64))&amp;"满叠","")&amp;IF(INT(MOD(ROUNDUP((64*C$5*($A22-1)/14),0),(64*64))/64)&gt;0,INT(MOD(ROUNDUP((64*C$5*($A22-1)/14),0),(64*64))/64)&amp;"叠","")&amp;IF(MOD(ROUNDUP((64*C$5*($A22-1)/14),0),64)&gt;0,MOD(ROUNDUP((64*C$5*($A22-1)/14),0),64)&amp;"个","")</f>
        <v>2叠51个</v>
      </c>
      <c r="D22" s="32" t="str">
        <f>IF(INT(ROUNDUP((64*D$5*($A22-1)/14),0)/(64*64))&gt;0,INT(ROUNDUP((64*D$5*($A22-1)/14),0)/(64*64))&amp;"满叠","")&amp;IF(INT(MOD(ROUNDUP((64*D$5*($A22-1)/14),0),(64*64))/64)&gt;0,INT(MOD(ROUNDUP((64*D$5*($A22-1)/14),0),(64*64))/64)&amp;"叠","")&amp;IF(MOD(ROUNDUP((64*D$5*($A22-1)/14),0),64)&gt;0,MOD(ROUNDUP((64*D$5*($A22-1)/14),0),64)&amp;"个","")</f>
        <v>4叠42个</v>
      </c>
      <c r="E22" s="32" t="str">
        <f>IF(INT(ROUNDUP((64*E$5*($A22-1)/14),0)/(64*64))&gt;0,INT(ROUNDUP((64*E$5*($A22-1)/14),0)/(64*64))&amp;"满叠","")&amp;IF(INT(MOD(ROUNDUP((64*E$5*($A22-1)/14),0),(64*64))/64)&gt;0,INT(MOD(ROUNDUP((64*E$5*($A22-1)/14),0),(64*64))/64)&amp;"叠","")&amp;IF(MOD(ROUNDUP((64*E$5*($A22-1)/14),0),64)&gt;0,MOD(ROUNDUP((64*E$5*($A22-1)/14),0),64)&amp;"个","")</f>
        <v>8叠23个</v>
      </c>
      <c r="F22" s="32" t="str">
        <f>IF(INT(ROUNDUP((64*F$5*($A22-1)/14),0)/(64*64))&gt;0,INT(ROUNDUP((64*F$5*($A22-1)/14),0)/(64*64))&amp;"满叠","")&amp;IF(INT(MOD(ROUNDUP((64*F$5*($A22-1)/14),0),(64*64))/64)&gt;0,INT(MOD(ROUNDUP((64*F$5*($A22-1)/14),0),(64*64))/64)&amp;"叠","")&amp;IF(MOD(ROUNDUP((64*F$5*($A22-1)/14),0),64)&gt;0,MOD(ROUNDUP((64*F$5*($A22-1)/14),0),64)&amp;"个","")</f>
        <v>25叠5个</v>
      </c>
      <c r="G22" s="32" t="str">
        <f>IF(INT(ROUNDUP((64*G$5*($A22-1)/14),0)/(64*64))&gt;0,INT(ROUNDUP((64*G$5*($A22-1)/14),0)/(64*64))&amp;"满叠","")&amp;IF(INT(MOD(ROUNDUP((64*G$5*($A22-1)/14),0),(64*64))/64)&gt;0,INT(MOD(ROUNDUP((64*G$5*($A22-1)/14),0),(64*64))/64)&amp;"叠","")&amp;IF(MOD(ROUNDUP((64*G$5*($A22-1)/14),0),64)&gt;0,MOD(ROUNDUP((64*G$5*($A22-1)/14),0),64)&amp;"个","")</f>
        <v>50叠10个</v>
      </c>
    </row>
    <row r="23" spans="1:7">
      <c r="A23" s="35">
        <v>15</v>
      </c>
      <c r="B23" s="36" t="str">
        <f>IF(INT(ROUNDUP((64*B$5*($A23-1)/14),0)/(64*64))&gt;0,INT(ROUNDUP((64*B$5*($A23-1)/14),0)/(64*64))&amp;"满叠","")&amp;IF(INT(MOD(ROUNDUP((64*B$5*($A23-1)/14),0),(64*64))/64)&gt;0,INT(MOD(ROUNDUP((64*B$5*($A23-1)/14),0),(64*64))/64)&amp;"叠","")&amp;IF(MOD(ROUNDUP((64*B$5*($A23-1)/14),0),64)&gt;0,MOD(ROUNDUP((64*B$5*($A23-1)/14),0),64)&amp;"个","")</f>
        <v>1叠</v>
      </c>
      <c r="C23" s="36" t="str">
        <f>IF(INT(ROUNDUP((64*C$5*($A23-1)/14),0)/(64*64))&gt;0,INT(ROUNDUP((64*C$5*($A23-1)/14),0)/(64*64))&amp;"满叠","")&amp;IF(INT(MOD(ROUNDUP((64*C$5*($A23-1)/14),0),(64*64))/64)&gt;0,INT(MOD(ROUNDUP((64*C$5*($A23-1)/14),0),(64*64))/64)&amp;"叠","")&amp;IF(MOD(ROUNDUP((64*C$5*($A23-1)/14),0),64)&gt;0,MOD(ROUNDUP((64*C$5*($A23-1)/14),0),64)&amp;"个","")</f>
        <v>3叠</v>
      </c>
      <c r="D23" s="36" t="str">
        <f>IF(INT(ROUNDUP((64*D$5*($A23-1)/14),0)/(64*64))&gt;0,INT(ROUNDUP((64*D$5*($A23-1)/14),0)/(64*64))&amp;"满叠","")&amp;IF(INT(MOD(ROUNDUP((64*D$5*($A23-1)/14),0),(64*64))/64)&gt;0,INT(MOD(ROUNDUP((64*D$5*($A23-1)/14),0),(64*64))/64)&amp;"叠","")&amp;IF(MOD(ROUNDUP((64*D$5*($A23-1)/14),0),64)&gt;0,MOD(ROUNDUP((64*D$5*($A23-1)/14),0),64)&amp;"个","")</f>
        <v>5叠</v>
      </c>
      <c r="E23" s="36" t="str">
        <f>IF(INT(ROUNDUP((64*E$5*($A23-1)/14),0)/(64*64))&gt;0,INT(ROUNDUP((64*E$5*($A23-1)/14),0)/(64*64))&amp;"满叠","")&amp;IF(INT(MOD(ROUNDUP((64*E$5*($A23-1)/14),0),(64*64))/64)&gt;0,INT(MOD(ROUNDUP((64*E$5*($A23-1)/14),0),(64*64))/64)&amp;"叠","")&amp;IF(MOD(ROUNDUP((64*E$5*($A23-1)/14),0),64)&gt;0,MOD(ROUNDUP((64*E$5*($A23-1)/14),0),64)&amp;"个","")</f>
        <v>9叠</v>
      </c>
      <c r="F23" s="36" t="str">
        <f>IF(INT(ROUNDUP((64*F$5*($A23-1)/14),0)/(64*64))&gt;0,INT(ROUNDUP((64*F$5*($A23-1)/14),0)/(64*64))&amp;"满叠","")&amp;IF(INT(MOD(ROUNDUP((64*F$5*($A23-1)/14),0),(64*64))/64)&gt;0,INT(MOD(ROUNDUP((64*F$5*($A23-1)/14),0),(64*64))/64)&amp;"叠","")&amp;IF(MOD(ROUNDUP((64*F$5*($A23-1)/14),0),64)&gt;0,MOD(ROUNDUP((64*F$5*($A23-1)/14),0),64)&amp;"个","")</f>
        <v>27叠</v>
      </c>
      <c r="G23" s="36" t="str">
        <f>IF(INT(ROUNDUP((64*G$5*($A23-1)/14),0)/(64*64))&gt;0,INT(ROUNDUP((64*G$5*($A23-1)/14),0)/(64*64))&amp;"满叠","")&amp;IF(INT(MOD(ROUNDUP((64*G$5*($A23-1)/14),0),(64*64))/64)&gt;0,INT(MOD(ROUNDUP((64*G$5*($A23-1)/14),0),(64*64))/64)&amp;"叠","")&amp;IF(MOD(ROUNDUP((64*G$5*($A23-1)/14),0),64)&gt;0,MOD(ROUNDUP((64*G$5*($A23-1)/14),0),64)&amp;"个","")</f>
        <v>54叠</v>
      </c>
    </row>
    <row r="24" spans="1:7">
      <c r="A24" s="16">
        <v>16</v>
      </c>
      <c r="B24" s="6" t="str">
        <f>IF(INT(ROUNDUP((64*B$5*($A24-1)/14),0)/(64*64))&gt;0,INT(ROUNDUP((64*B$5*($A24-1)/14),0)/(64*64))&amp;"满叠","")&amp;IF(INT(MOD(ROUNDUP((64*B$5*($A24-1)/14),0),(64*64))/64)&gt;0,INT(MOD(ROUNDUP((64*B$5*($A24-1)/14),0),(64*64))/64)&amp;"叠","")&amp;IF(MOD(ROUNDUP((64*B$5*($A24-1)/14),0),64)&gt;0,MOD(ROUNDUP((64*B$5*($A24-1)/14),0),64)&amp;"个","")</f>
        <v>1叠5个</v>
      </c>
      <c r="C24" s="6" t="str">
        <f>IF(INT(ROUNDUP((64*C$5*($A24-1)/14),0)/(64*64))&gt;0,INT(ROUNDUP((64*C$5*($A24-1)/14),0)/(64*64))&amp;"满叠","")&amp;IF(INT(MOD(ROUNDUP((64*C$5*($A24-1)/14),0),(64*64))/64)&gt;0,INT(MOD(ROUNDUP((64*C$5*($A24-1)/14),0),(64*64))/64)&amp;"叠","")&amp;IF(MOD(ROUNDUP((64*C$5*($A24-1)/14),0),64)&gt;0,MOD(ROUNDUP((64*C$5*($A24-1)/14),0),64)&amp;"个","")</f>
        <v>3叠14个</v>
      </c>
      <c r="D24" s="6" t="str">
        <f>IF(INT(ROUNDUP((64*D$5*($A24-1)/14),0)/(64*64))&gt;0,INT(ROUNDUP((64*D$5*($A24-1)/14),0)/(64*64))&amp;"满叠","")&amp;IF(INT(MOD(ROUNDUP((64*D$5*($A24-1)/14),0),(64*64))/64)&gt;0,INT(MOD(ROUNDUP((64*D$5*($A24-1)/14),0),(64*64))/64)&amp;"叠","")&amp;IF(MOD(ROUNDUP((64*D$5*($A24-1)/14),0),64)&gt;0,MOD(ROUNDUP((64*D$5*($A24-1)/14),0),64)&amp;"个","")</f>
        <v>5叠23个</v>
      </c>
      <c r="E24" s="6" t="str">
        <f>IF(INT(ROUNDUP((64*E$5*($A24-1)/14),0)/(64*64))&gt;0,INT(ROUNDUP((64*E$5*($A24-1)/14),0)/(64*64))&amp;"满叠","")&amp;IF(INT(MOD(ROUNDUP((64*E$5*($A24-1)/14),0),(64*64))/64)&gt;0,INT(MOD(ROUNDUP((64*E$5*($A24-1)/14),0),(64*64))/64)&amp;"叠","")&amp;IF(MOD(ROUNDUP((64*E$5*($A24-1)/14),0),64)&gt;0,MOD(ROUNDUP((64*E$5*($A24-1)/14),0),64)&amp;"个","")</f>
        <v>9叠42个</v>
      </c>
      <c r="F24" s="6" t="str">
        <f>IF(INT(ROUNDUP((64*F$5*($A24-1)/14),0)/(64*64))&gt;0,INT(ROUNDUP((64*F$5*($A24-1)/14),0)/(64*64))&amp;"满叠","")&amp;IF(INT(MOD(ROUNDUP((64*F$5*($A24-1)/14),0),(64*64))/64)&gt;0,INT(MOD(ROUNDUP((64*F$5*($A24-1)/14),0),(64*64))/64)&amp;"叠","")&amp;IF(MOD(ROUNDUP((64*F$5*($A24-1)/14),0),64)&gt;0,MOD(ROUNDUP((64*F$5*($A24-1)/14),0),64)&amp;"个","")</f>
        <v>28叠60个</v>
      </c>
      <c r="G24" s="6" t="str">
        <f>IF(INT(ROUNDUP((64*G$5*($A24-1)/14),0)/(64*64))&gt;0,INT(ROUNDUP((64*G$5*($A24-1)/14),0)/(64*64))&amp;"满叠","")&amp;IF(INT(MOD(ROUNDUP((64*G$5*($A24-1)/14),0),(64*64))/64)&gt;0,INT(MOD(ROUNDUP((64*G$5*($A24-1)/14),0),(64*64))/64)&amp;"叠","")&amp;IF(MOD(ROUNDUP((64*G$5*($A24-1)/14),0),64)&gt;0,MOD(ROUNDUP((64*G$5*($A24-1)/14),0),64)&amp;"个","")</f>
        <v>57叠55个</v>
      </c>
    </row>
    <row r="25" spans="1:7">
      <c r="A25" s="10">
        <v>225</v>
      </c>
      <c r="B25" s="6" t="str">
        <f>IF(INT(ROUNDUP((64*B$5*($A25-1)/14),0)/(64*64))&gt;0,INT(ROUNDUP((64*B$5*($A25-1)/14),0)/(64*64))&amp;"满叠","")&amp;IF(INT(MOD(ROUNDUP((64*B$5*($A25-1)/14),0),(64*64))/64)&gt;0,INT(MOD(ROUNDUP((64*B$5*($A25-1)/14),0),(64*64))/64)&amp;"叠","")&amp;IF(MOD(ROUNDUP((64*B$5*($A25-1)/14),0),64)&gt;0,MOD(ROUNDUP((64*B$5*($A25-1)/14),0),64)&amp;"个","")</f>
        <v>16叠</v>
      </c>
      <c r="C25" s="6" t="str">
        <f>IF(INT(ROUNDUP((64*C$5*($A25-1)/14),0)/(64*64))&gt;0,INT(ROUNDUP((64*C$5*($A25-1)/14),0)/(64*64))&amp;"满叠","")&amp;IF(INT(MOD(ROUNDUP((64*C$5*($A25-1)/14),0),(64*64))/64)&gt;0,INT(MOD(ROUNDUP((64*C$5*($A25-1)/14),0),(64*64))/64)&amp;"叠","")&amp;IF(MOD(ROUNDUP((64*C$5*($A25-1)/14),0),64)&gt;0,MOD(ROUNDUP((64*C$5*($A25-1)/14),0),64)&amp;"个","")</f>
        <v>48叠</v>
      </c>
      <c r="D25" s="6" t="str">
        <f>IF(INT(ROUNDUP((64*D$5*($A25-1)/14),0)/(64*64))&gt;0,INT(ROUNDUP((64*D$5*($A25-1)/14),0)/(64*64))&amp;"满叠","")&amp;IF(INT(MOD(ROUNDUP((64*D$5*($A25-1)/14),0),(64*64))/64)&gt;0,INT(MOD(ROUNDUP((64*D$5*($A25-1)/14),0),(64*64))/64)&amp;"叠","")&amp;IF(MOD(ROUNDUP((64*D$5*($A25-1)/14),0),64)&gt;0,MOD(ROUNDUP((64*D$5*($A25-1)/14),0),64)&amp;"个","")</f>
        <v>1满叠16叠</v>
      </c>
      <c r="E25" s="6" t="str">
        <f>IF(INT(ROUNDUP((64*E$5*($A25-1)/14),0)/(64*64))&gt;0,INT(ROUNDUP((64*E$5*($A25-1)/14),0)/(64*64))&amp;"满叠","")&amp;IF(INT(MOD(ROUNDUP((64*E$5*($A25-1)/14),0),(64*64))/64)&gt;0,INT(MOD(ROUNDUP((64*E$5*($A25-1)/14),0),(64*64))/64)&amp;"叠","")&amp;IF(MOD(ROUNDUP((64*E$5*($A25-1)/14),0),64)&gt;0,MOD(ROUNDUP((64*E$5*($A25-1)/14),0),64)&amp;"个","")</f>
        <v>2满叠16叠</v>
      </c>
      <c r="F25" s="6" t="str">
        <f>IF(INT(ROUNDUP((64*F$5*($A25-1)/14),0)/(64*64))&gt;0,INT(ROUNDUP((64*F$5*($A25-1)/14),0)/(64*64))&amp;"满叠","")&amp;IF(INT(MOD(ROUNDUP((64*F$5*($A25-1)/14),0),(64*64))/64)&gt;0,INT(MOD(ROUNDUP((64*F$5*($A25-1)/14),0),(64*64))/64)&amp;"叠","")&amp;IF(MOD(ROUNDUP((64*F$5*($A25-1)/14),0),64)&gt;0,MOD(ROUNDUP((64*F$5*($A25-1)/14),0),64)&amp;"个","")</f>
        <v>6满叠48叠</v>
      </c>
      <c r="G25" s="6" t="str">
        <f>IF(INT(ROUNDUP((64*G$5*($A25-1)/14),0)/(64*64))&gt;0,INT(ROUNDUP((64*G$5*($A25-1)/14),0)/(64*64))&amp;"满叠","")&amp;IF(INT(MOD(ROUNDUP((64*G$5*($A25-1)/14),0),(64*64))/64)&gt;0,INT(MOD(ROUNDUP((64*G$5*($A25-1)/14),0),(64*64))/64)&amp;"叠","")&amp;IF(MOD(ROUNDUP((64*G$5*($A25-1)/14),0),64)&gt;0,MOD(ROUNDUP((64*G$5*($A25-1)/14),0),64)&amp;"个","")</f>
        <v>13满叠32叠</v>
      </c>
    </row>
    <row r="26" spans="1:7">
      <c r="A26" s="7">
        <v>897</v>
      </c>
      <c r="B26" s="8" t="str">
        <f>IF(INT(ROUNDUP((64*B$5*($A26-1)/14),0)/(64*64))&gt;0,INT(ROUNDUP((64*B$5*($A26-1)/14),0)/(64*64))&amp;"满叠","")&amp;IF(INT(MOD(ROUNDUP((64*B$5*($A26-1)/14),0),(64*64))/64)&gt;0,INT(MOD(ROUNDUP((64*B$5*($A26-1)/14),0),(64*64))/64)&amp;"叠","")&amp;IF(MOD(ROUNDUP((64*B$5*($A26-1)/14),0),64)&gt;0,MOD(ROUNDUP((64*B$5*($A26-1)/14),0),64)&amp;"个","")</f>
        <v>1满叠</v>
      </c>
      <c r="C26" s="8" t="str">
        <f>IF(INT(ROUNDUP((64*C$5*($A26-1)/14),0)/(64*64))&gt;0,INT(ROUNDUP((64*C$5*($A26-1)/14),0)/(64*64))&amp;"满叠","")&amp;IF(INT(MOD(ROUNDUP((64*C$5*($A26-1)/14),0),(64*64))/64)&gt;0,INT(MOD(ROUNDUP((64*C$5*($A26-1)/14),0),(64*64))/64)&amp;"叠","")&amp;IF(MOD(ROUNDUP((64*C$5*($A26-1)/14),0),64)&gt;0,MOD(ROUNDUP((64*C$5*($A26-1)/14),0),64)&amp;"个","")</f>
        <v>3满叠</v>
      </c>
      <c r="D26" s="8" t="str">
        <f>IF(INT(ROUNDUP((64*D$5*($A26-1)/14),0)/(64*64))&gt;0,INT(ROUNDUP((64*D$5*($A26-1)/14),0)/(64*64))&amp;"满叠","")&amp;IF(INT(MOD(ROUNDUP((64*D$5*($A26-1)/14),0),(64*64))/64)&gt;0,INT(MOD(ROUNDUP((64*D$5*($A26-1)/14),0),(64*64))/64)&amp;"叠","")&amp;IF(MOD(ROUNDUP((64*D$5*($A26-1)/14),0),64)&gt;0,MOD(ROUNDUP((64*D$5*($A26-1)/14),0),64)&amp;"个","")</f>
        <v>5满叠</v>
      </c>
      <c r="E26" s="8" t="str">
        <f>IF(INT(ROUNDUP((64*E$5*($A26-1)/14),0)/(64*64))&gt;0,INT(ROUNDUP((64*E$5*($A26-1)/14),0)/(64*64))&amp;"满叠","")&amp;IF(INT(MOD(ROUNDUP((64*E$5*($A26-1)/14),0),(64*64))/64)&gt;0,INT(MOD(ROUNDUP((64*E$5*($A26-1)/14),0),(64*64))/64)&amp;"叠","")&amp;IF(MOD(ROUNDUP((64*E$5*($A26-1)/14),0),64)&gt;0,MOD(ROUNDUP((64*E$5*($A26-1)/14),0),64)&amp;"个","")</f>
        <v>9满叠</v>
      </c>
      <c r="F26" s="8" t="str">
        <f>IF(INT(ROUNDUP((64*F$5*($A26-1)/14),0)/(64*64))&gt;0,INT(ROUNDUP((64*F$5*($A26-1)/14),0)/(64*64))&amp;"满叠","")&amp;IF(INT(MOD(ROUNDUP((64*F$5*($A26-1)/14),0),(64*64))/64)&gt;0,INT(MOD(ROUNDUP((64*F$5*($A26-1)/14),0),(64*64))/64)&amp;"叠","")&amp;IF(MOD(ROUNDUP((64*F$5*($A26-1)/14),0),64)&gt;0,MOD(ROUNDUP((64*F$5*($A26-1)/14),0),64)&amp;"个","")</f>
        <v>27满叠</v>
      </c>
      <c r="G26" s="8" t="str">
        <f>IF(INT(ROUNDUP((64*G$5*($A26-1)/14),0)/(64*64))&gt;0,INT(ROUNDUP((64*G$5*($A26-1)/14),0)/(64*64))&amp;"满叠","")&amp;IF(INT(MOD(ROUNDUP((64*G$5*($A26-1)/14),0),(64*64))/64)&gt;0,INT(MOD(ROUNDUP((64*G$5*($A26-1)/14),0),(64*64))/64)&amp;"叠","")&amp;IF(MOD(ROUNDUP((64*G$5*($A26-1)/14),0),64)&gt;0,MOD(ROUNDUP((64*G$5*($A26-1)/14),0),64)&amp;"个","")</f>
        <v>54满叠</v>
      </c>
    </row>
  </sheetData>
  <mergeCells count="4">
    <mergeCell ref="B7:G7"/>
    <mergeCell ref="A1:A4"/>
    <mergeCell ref="B8:G8"/>
    <mergeCell ref="B9:G9"/>
  </mergeCells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特殊"/>
  <dimension ref="A1:Z17"/>
  <sheetViews>
    <sheetView workbookViewId="0">
      <pane xSplit="1" topLeftCell="B1" activePane="topRight" state="frozen"/>
      <selection pane="topRight"/>
    </sheetView>
  </sheetViews>
  <sheetFormatPr defaultColWidth="8.6640625" defaultRowHeight="13.8"/>
  <cols>
    <col min="1" max="1" width="7.88671875" style="3" customWidth="1"/>
    <col min="2" max="2" width="7.77734375" style="3" customWidth="1"/>
    <col min="3" max="3" width="5.21875" style="3" customWidth="1"/>
    <col min="4" max="4" width="11.77734375" style="3" customWidth="1"/>
    <col min="5" max="5" width="10.77734375" style="3" customWidth="1"/>
    <col min="6" max="6" width="8.6640625" style="3" customWidth="1"/>
    <col min="7" max="7" width="11.109375" style="3" customWidth="1"/>
    <col min="8" max="8" width="12" style="3" customWidth="1"/>
    <col min="9" max="9" width="15" style="3" customWidth="1"/>
    <col min="10" max="10" width="7.44140625" style="3" customWidth="1"/>
    <col min="11" max="12" width="16.44140625" style="3" customWidth="1"/>
    <col min="13" max="13" width="20.77734375" style="3" customWidth="1"/>
    <col min="14" max="14" width="23.109375" style="3" customWidth="1"/>
    <col min="15" max="15" width="25.44140625" style="3" customWidth="1"/>
    <col min="16" max="16" width="15.6640625" style="3" customWidth="1"/>
    <col min="17" max="17" width="14.109375" style="3" customWidth="1"/>
    <col min="18" max="18" width="17.33203125" style="3" customWidth="1"/>
    <col min="19" max="26" width="8.6640625" style="3"/>
  </cols>
  <sheetData>
    <row r="1" spans="1:18">
      <c r="A1" s="12" t="s">
        <v>220</v>
      </c>
      <c r="B1" s="12" t="s">
        <v>14</v>
      </c>
      <c r="C1" s="12" t="s">
        <v>15</v>
      </c>
      <c r="D1" s="12" t="s">
        <v>16</v>
      </c>
      <c r="E1" s="12" t="s">
        <v>225</v>
      </c>
      <c r="F1" s="12" t="s">
        <v>17</v>
      </c>
      <c r="G1" s="12" t="s">
        <v>18</v>
      </c>
      <c r="H1" s="12" t="s">
        <v>19</v>
      </c>
      <c r="I1" s="12" t="s">
        <v>20</v>
      </c>
      <c r="J1" s="12" t="s">
        <v>21</v>
      </c>
      <c r="K1" s="12" t="s">
        <v>211</v>
      </c>
      <c r="L1" s="12" t="s">
        <v>217</v>
      </c>
      <c r="M1" s="12" t="s">
        <v>22</v>
      </c>
      <c r="N1" s="12" t="s">
        <v>23</v>
      </c>
      <c r="O1" s="12" t="s">
        <v>24</v>
      </c>
      <c r="P1" s="12" t="s">
        <v>210</v>
      </c>
      <c r="Q1" s="12" t="s">
        <v>215</v>
      </c>
      <c r="R1" s="12"/>
    </row>
    <row r="2" spans="1:18">
      <c r="A2" s="25">
        <v>0</v>
      </c>
      <c r="B2" s="40" t="s">
        <v>25</v>
      </c>
      <c r="C2" s="20"/>
      <c r="D2" s="41" t="s">
        <v>25</v>
      </c>
      <c r="E2" s="42" t="s">
        <v>25</v>
      </c>
      <c r="F2" s="43" t="s">
        <v>25</v>
      </c>
      <c r="G2" s="43" t="s">
        <v>25</v>
      </c>
      <c r="H2" s="43" t="s">
        <v>25</v>
      </c>
      <c r="I2" s="44" t="s">
        <v>26</v>
      </c>
      <c r="J2" s="45" t="s">
        <v>27</v>
      </c>
      <c r="K2" s="19" t="s">
        <v>213</v>
      </c>
      <c r="L2" s="19" t="s">
        <v>218</v>
      </c>
      <c r="M2" s="20" t="s">
        <v>212</v>
      </c>
      <c r="N2" s="20" t="s">
        <v>28</v>
      </c>
      <c r="O2" s="20" t="s">
        <v>29</v>
      </c>
      <c r="P2" s="20" t="s">
        <v>214</v>
      </c>
      <c r="Q2" s="20" t="s">
        <v>216</v>
      </c>
      <c r="R2" s="15"/>
    </row>
    <row r="3" spans="1:18">
      <c r="A3" s="39">
        <v>1</v>
      </c>
      <c r="B3" s="46"/>
      <c r="C3" s="20"/>
      <c r="D3" s="47" t="s">
        <v>30</v>
      </c>
      <c r="E3" s="48" t="s">
        <v>31</v>
      </c>
      <c r="F3" s="20"/>
      <c r="G3" s="49" t="s">
        <v>32</v>
      </c>
      <c r="H3" s="49" t="s">
        <v>33</v>
      </c>
      <c r="I3" s="20"/>
      <c r="J3" s="20"/>
      <c r="K3" s="19"/>
      <c r="L3" s="19"/>
      <c r="M3" s="20"/>
      <c r="N3" s="20"/>
      <c r="O3" s="20"/>
      <c r="P3" s="20"/>
      <c r="Q3" s="20"/>
      <c r="R3" s="15"/>
    </row>
    <row r="4" spans="1:18" ht="27.6">
      <c r="A4" s="39">
        <v>2</v>
      </c>
      <c r="B4" s="46"/>
      <c r="C4" s="43" t="s">
        <v>34</v>
      </c>
      <c r="D4" s="47" t="s">
        <v>35</v>
      </c>
      <c r="E4" s="50" t="s">
        <v>36</v>
      </c>
      <c r="F4" s="20"/>
      <c r="G4" s="49" t="s">
        <v>37</v>
      </c>
      <c r="H4" s="49" t="s">
        <v>38</v>
      </c>
      <c r="I4" s="20"/>
      <c r="J4" s="20"/>
      <c r="K4" s="19"/>
      <c r="L4" s="19"/>
      <c r="M4" s="20"/>
      <c r="N4" s="20"/>
      <c r="O4" s="20"/>
      <c r="P4" s="20"/>
      <c r="Q4" s="20"/>
      <c r="R4" s="15"/>
    </row>
    <row r="5" spans="1:18">
      <c r="A5" s="39">
        <v>3</v>
      </c>
      <c r="B5" s="51" t="s">
        <v>39</v>
      </c>
      <c r="C5" s="52"/>
      <c r="D5" s="47" t="s">
        <v>40</v>
      </c>
      <c r="E5" s="53" t="s">
        <v>41</v>
      </c>
      <c r="F5" s="54" t="s">
        <v>42</v>
      </c>
      <c r="G5" s="49" t="s">
        <v>43</v>
      </c>
      <c r="H5" s="49" t="s">
        <v>44</v>
      </c>
      <c r="I5" s="20"/>
      <c r="J5" s="20"/>
      <c r="K5" s="19"/>
      <c r="L5" s="19"/>
      <c r="M5" s="20"/>
      <c r="N5" s="20"/>
      <c r="O5" s="20"/>
      <c r="P5" s="20"/>
      <c r="Q5" s="20"/>
      <c r="R5" s="15"/>
    </row>
    <row r="6" spans="1:18" ht="27.6">
      <c r="A6" s="26">
        <v>4</v>
      </c>
      <c r="B6" s="46"/>
      <c r="C6" s="43" t="s">
        <v>45</v>
      </c>
      <c r="D6" s="55" t="s">
        <v>46</v>
      </c>
      <c r="E6" s="20"/>
      <c r="F6" s="20"/>
      <c r="G6" s="49" t="s">
        <v>47</v>
      </c>
      <c r="H6" s="49" t="s">
        <v>48</v>
      </c>
      <c r="I6" s="20"/>
      <c r="J6" s="20"/>
      <c r="K6" s="19"/>
      <c r="L6" s="19"/>
      <c r="M6" s="20"/>
      <c r="N6" s="20"/>
      <c r="O6" s="20"/>
      <c r="P6" s="20"/>
      <c r="Q6" s="20"/>
      <c r="R6" s="15"/>
    </row>
    <row r="7" spans="1:18">
      <c r="A7" s="26">
        <v>5</v>
      </c>
      <c r="B7" s="46"/>
      <c r="C7" s="52"/>
      <c r="D7" s="55" t="s">
        <v>49</v>
      </c>
      <c r="E7" s="20"/>
      <c r="F7" s="20"/>
      <c r="G7" s="56" t="s">
        <v>50</v>
      </c>
      <c r="H7" s="49" t="s">
        <v>51</v>
      </c>
      <c r="I7" s="20"/>
      <c r="J7" s="20"/>
      <c r="K7" s="19"/>
      <c r="L7" s="19"/>
      <c r="M7" s="20"/>
      <c r="N7" s="20"/>
      <c r="O7" s="20"/>
      <c r="P7" s="20"/>
      <c r="Q7" s="20"/>
      <c r="R7" s="15"/>
    </row>
    <row r="8" spans="1:18" ht="27.6">
      <c r="A8" s="27">
        <v>6</v>
      </c>
      <c r="B8" s="46"/>
      <c r="C8" s="49" t="s">
        <v>52</v>
      </c>
      <c r="D8" s="55" t="s">
        <v>53</v>
      </c>
      <c r="E8" s="20"/>
      <c r="F8" s="20"/>
      <c r="G8" s="20"/>
      <c r="H8" s="49" t="s">
        <v>54</v>
      </c>
      <c r="I8" s="20"/>
      <c r="J8" s="20"/>
      <c r="K8" s="19"/>
      <c r="L8" s="19"/>
      <c r="M8" s="20"/>
      <c r="N8" s="20"/>
      <c r="O8" s="20"/>
      <c r="P8" s="20"/>
      <c r="Q8" s="20"/>
      <c r="R8" s="15"/>
    </row>
    <row r="9" spans="1:18" ht="27.6">
      <c r="A9" s="27">
        <v>7</v>
      </c>
      <c r="B9" s="51" t="s">
        <v>55</v>
      </c>
      <c r="C9" s="52"/>
      <c r="D9" s="57" t="s">
        <v>56</v>
      </c>
      <c r="E9" s="20"/>
      <c r="F9" s="20"/>
      <c r="G9" s="20"/>
      <c r="H9" s="49" t="s">
        <v>57</v>
      </c>
      <c r="I9" s="20"/>
      <c r="J9" s="20"/>
      <c r="K9" s="19"/>
      <c r="L9" s="19"/>
      <c r="M9" s="20"/>
      <c r="N9" s="20"/>
      <c r="O9" s="20"/>
      <c r="P9" s="20"/>
      <c r="Q9" s="20"/>
      <c r="R9" s="15"/>
    </row>
    <row r="10" spans="1:18" ht="27.6">
      <c r="A10" s="28">
        <v>8</v>
      </c>
      <c r="B10" s="46"/>
      <c r="C10" s="49" t="s">
        <v>58</v>
      </c>
      <c r="D10" s="57" t="s">
        <v>59</v>
      </c>
      <c r="E10" s="20"/>
      <c r="F10" s="20"/>
      <c r="G10" s="20"/>
      <c r="H10" s="49" t="s">
        <v>60</v>
      </c>
      <c r="I10" s="20"/>
      <c r="J10" s="20"/>
      <c r="K10" s="19"/>
      <c r="L10" s="19"/>
      <c r="M10" s="20"/>
      <c r="N10" s="20"/>
      <c r="O10" s="20"/>
      <c r="P10" s="20"/>
      <c r="Q10" s="20"/>
      <c r="R10" s="15"/>
    </row>
    <row r="11" spans="1:18">
      <c r="A11" s="29">
        <v>9</v>
      </c>
      <c r="B11" s="46"/>
      <c r="C11" s="52"/>
      <c r="D11" s="20"/>
      <c r="E11" s="20"/>
      <c r="F11" s="20"/>
      <c r="G11" s="20"/>
      <c r="H11" s="20"/>
      <c r="I11" s="20"/>
      <c r="J11" s="20"/>
      <c r="K11" s="19"/>
      <c r="L11" s="19"/>
      <c r="M11" s="20"/>
      <c r="N11" s="20"/>
      <c r="O11" s="20"/>
      <c r="P11" s="20"/>
      <c r="Q11" s="20"/>
      <c r="R11" s="15"/>
    </row>
    <row r="12" spans="1:18" ht="27.6">
      <c r="A12" s="29">
        <v>10</v>
      </c>
      <c r="B12" s="46"/>
      <c r="C12" s="58" t="s">
        <v>61</v>
      </c>
      <c r="D12" s="20"/>
      <c r="E12" s="20"/>
      <c r="F12" s="20"/>
      <c r="G12" s="20"/>
      <c r="H12" s="20"/>
      <c r="I12" s="20"/>
      <c r="J12" s="20"/>
      <c r="K12" s="19"/>
      <c r="L12" s="19"/>
      <c r="M12" s="20"/>
      <c r="N12" s="20"/>
      <c r="O12" s="20"/>
      <c r="P12" s="20"/>
      <c r="Q12" s="20"/>
      <c r="R12" s="15"/>
    </row>
    <row r="13" spans="1:18">
      <c r="A13" s="30">
        <v>11</v>
      </c>
      <c r="B13" s="59" t="s">
        <v>62</v>
      </c>
      <c r="C13" s="52"/>
      <c r="D13" s="20"/>
      <c r="E13" s="20"/>
      <c r="F13" s="20"/>
      <c r="G13" s="20"/>
      <c r="H13" s="20"/>
      <c r="I13" s="20"/>
      <c r="J13" s="20"/>
      <c r="K13" s="19"/>
      <c r="L13" s="19"/>
      <c r="M13" s="20"/>
      <c r="N13" s="20"/>
      <c r="O13" s="20"/>
      <c r="P13" s="20"/>
      <c r="Q13" s="20"/>
      <c r="R13" s="15"/>
    </row>
    <row r="14" spans="1:18" ht="27.6">
      <c r="A14" s="30">
        <v>12</v>
      </c>
      <c r="B14" s="46"/>
      <c r="C14" s="58" t="s">
        <v>63</v>
      </c>
      <c r="D14" s="20"/>
      <c r="E14" s="20"/>
      <c r="F14" s="20"/>
      <c r="G14" s="20"/>
      <c r="H14" s="20"/>
      <c r="I14" s="20"/>
      <c r="J14" s="20"/>
      <c r="K14" s="19"/>
      <c r="L14" s="19"/>
      <c r="M14" s="20"/>
      <c r="N14" s="20"/>
      <c r="O14" s="20"/>
      <c r="P14" s="20"/>
      <c r="Q14" s="20"/>
      <c r="R14" s="15"/>
    </row>
    <row r="15" spans="1:18">
      <c r="A15" s="31">
        <v>13</v>
      </c>
      <c r="B15" s="46"/>
      <c r="C15" s="52"/>
      <c r="D15" s="20"/>
      <c r="E15" s="20"/>
      <c r="F15" s="20"/>
      <c r="G15" s="20"/>
      <c r="H15" s="20"/>
      <c r="I15" s="20"/>
      <c r="J15" s="20"/>
      <c r="K15" s="19"/>
      <c r="L15" s="19"/>
      <c r="M15" s="20"/>
      <c r="N15" s="20"/>
      <c r="O15" s="20"/>
      <c r="P15" s="20"/>
      <c r="Q15" s="20"/>
      <c r="R15" s="15"/>
    </row>
    <row r="16" spans="1:18">
      <c r="A16" s="31">
        <v>14</v>
      </c>
      <c r="B16" s="46"/>
      <c r="C16" s="56" t="s">
        <v>64</v>
      </c>
      <c r="D16" s="20"/>
      <c r="E16" s="20"/>
      <c r="F16" s="20"/>
      <c r="G16" s="20"/>
      <c r="H16" s="20"/>
      <c r="I16" s="20"/>
      <c r="J16" s="20"/>
      <c r="K16" s="19"/>
      <c r="L16" s="19"/>
      <c r="M16" s="20"/>
      <c r="N16" s="20"/>
      <c r="O16" s="20"/>
      <c r="P16" s="20"/>
      <c r="Q16" s="20"/>
      <c r="R16" s="15"/>
    </row>
    <row r="17" spans="1:18">
      <c r="A17" s="33">
        <v>15</v>
      </c>
      <c r="B17" s="60" t="s">
        <v>65</v>
      </c>
      <c r="C17" s="52"/>
      <c r="D17" s="20"/>
      <c r="E17" s="20"/>
      <c r="F17" s="20"/>
      <c r="G17" s="20"/>
      <c r="H17" s="20"/>
      <c r="I17" s="61" t="s">
        <v>66</v>
      </c>
      <c r="J17" s="54" t="s">
        <v>67</v>
      </c>
      <c r="K17" s="19"/>
      <c r="L17" s="19"/>
      <c r="M17" s="20"/>
      <c r="N17" s="20"/>
      <c r="O17" s="20"/>
      <c r="P17" s="20"/>
      <c r="Q17" s="20"/>
      <c r="R17" s="15"/>
    </row>
  </sheetData>
  <mergeCells count="21">
    <mergeCell ref="B3:B4"/>
    <mergeCell ref="B6:B8"/>
    <mergeCell ref="B10:B12"/>
    <mergeCell ref="B14:B16"/>
    <mergeCell ref="C2:C3"/>
    <mergeCell ref="D11:D17"/>
    <mergeCell ref="E6:E17"/>
    <mergeCell ref="F3:F4"/>
    <mergeCell ref="F6:F17"/>
    <mergeCell ref="G8:G17"/>
    <mergeCell ref="H11:H17"/>
    <mergeCell ref="I3:I16"/>
    <mergeCell ref="J3:J16"/>
    <mergeCell ref="M2:M17"/>
    <mergeCell ref="N2:N17"/>
    <mergeCell ref="O2:O17"/>
    <mergeCell ref="P2:P17"/>
    <mergeCell ref="Q2:Q17"/>
    <mergeCell ref="R2:R17"/>
    <mergeCell ref="K2:K17"/>
    <mergeCell ref="L2:L17"/>
  </mergeCells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唱片"/>
  <dimension ref="A1:C1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" defaultRowHeight="13.8"/>
  <cols>
    <col min="1" max="1" width="5.5546875" style="2" bestFit="1" customWidth="1"/>
    <col min="2" max="2" width="10.109375" style="3" bestFit="1" customWidth="1"/>
    <col min="3" max="3" width="15.44140625" style="3" bestFit="1" customWidth="1"/>
  </cols>
  <sheetData>
    <row r="1" spans="1:3" s="1" customFormat="1">
      <c r="A1" s="12" t="s">
        <v>220</v>
      </c>
      <c r="B1" s="83" t="s">
        <v>227</v>
      </c>
      <c r="C1" s="82"/>
    </row>
    <row r="2" spans="1:3">
      <c r="A2" s="25">
        <v>0</v>
      </c>
      <c r="B2" s="80" t="s">
        <v>68</v>
      </c>
      <c r="C2" s="81"/>
    </row>
    <row r="3" spans="1:3">
      <c r="A3" s="39">
        <v>1</v>
      </c>
      <c r="B3" s="4">
        <v>13</v>
      </c>
      <c r="C3" s="4"/>
    </row>
    <row r="4" spans="1:3">
      <c r="A4" s="39">
        <v>2</v>
      </c>
      <c r="B4" s="4" t="s">
        <v>69</v>
      </c>
      <c r="C4" s="4"/>
    </row>
    <row r="5" spans="1:3">
      <c r="A5" s="39">
        <v>3</v>
      </c>
      <c r="B5" s="4" t="s">
        <v>70</v>
      </c>
      <c r="C5" s="4"/>
    </row>
    <row r="6" spans="1:3">
      <c r="A6" s="26">
        <v>4</v>
      </c>
      <c r="B6" s="4" t="s">
        <v>71</v>
      </c>
      <c r="C6" s="4"/>
    </row>
    <row r="7" spans="1:3">
      <c r="A7" s="26">
        <v>5</v>
      </c>
      <c r="B7" s="4" t="s">
        <v>72</v>
      </c>
      <c r="C7" s="4"/>
    </row>
    <row r="8" spans="1:3">
      <c r="A8" s="27">
        <v>6</v>
      </c>
      <c r="B8" s="4" t="s">
        <v>73</v>
      </c>
      <c r="C8" s="4"/>
    </row>
    <row r="9" spans="1:3">
      <c r="A9" s="27">
        <v>7</v>
      </c>
      <c r="B9" s="4" t="s">
        <v>74</v>
      </c>
      <c r="C9" s="4"/>
    </row>
    <row r="10" spans="1:3">
      <c r="A10" s="28">
        <v>8</v>
      </c>
      <c r="B10" s="4" t="s">
        <v>75</v>
      </c>
      <c r="C10" s="79" t="s">
        <v>219</v>
      </c>
    </row>
    <row r="11" spans="1:3">
      <c r="A11" s="29">
        <v>9</v>
      </c>
      <c r="B11" s="4" t="s">
        <v>76</v>
      </c>
      <c r="C11" s="4" t="s">
        <v>77</v>
      </c>
    </row>
    <row r="12" spans="1:3">
      <c r="A12" s="29">
        <v>10</v>
      </c>
      <c r="B12" s="4" t="s">
        <v>78</v>
      </c>
      <c r="C12" s="4" t="s">
        <v>79</v>
      </c>
    </row>
    <row r="13" spans="1:3">
      <c r="A13" s="30">
        <v>11</v>
      </c>
      <c r="B13" s="4">
        <v>11</v>
      </c>
      <c r="C13" s="79" t="s">
        <v>80</v>
      </c>
    </row>
    <row r="14" spans="1:3">
      <c r="A14" s="30">
        <v>12</v>
      </c>
      <c r="B14" s="4" t="s">
        <v>81</v>
      </c>
      <c r="C14" s="4" t="s">
        <v>82</v>
      </c>
    </row>
    <row r="15" spans="1:3">
      <c r="A15" s="31">
        <v>13</v>
      </c>
      <c r="B15" s="79" t="s">
        <v>83</v>
      </c>
      <c r="C15" s="4" t="s">
        <v>84</v>
      </c>
    </row>
    <row r="16" spans="1:3">
      <c r="A16" s="31">
        <v>14</v>
      </c>
      <c r="B16" s="79" t="s">
        <v>85</v>
      </c>
      <c r="C16" s="79" t="s">
        <v>86</v>
      </c>
    </row>
    <row r="17" spans="1:3">
      <c r="A17" s="33">
        <v>15</v>
      </c>
      <c r="B17" s="79">
        <v>5</v>
      </c>
      <c r="C17" s="4"/>
    </row>
  </sheetData>
  <mergeCells count="2">
    <mergeCell ref="B2:C2"/>
    <mergeCell ref="B1:C1"/>
  </mergeCells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2"/>
  <sheetViews>
    <sheetView workbookViewId="0"/>
  </sheetViews>
  <sheetFormatPr defaultColWidth="8.6640625" defaultRowHeight="13.8"/>
  <cols>
    <col min="1" max="1" width="14.77734375" bestFit="1" customWidth="1"/>
    <col min="2" max="2" width="14.109375" customWidth="1"/>
    <col min="3" max="3" width="28.109375" customWidth="1"/>
    <col min="4" max="4" width="255.5546875" customWidth="1"/>
  </cols>
  <sheetData>
    <row r="1" spans="1:4">
      <c r="A1" s="22" t="s">
        <v>226</v>
      </c>
      <c r="B1" s="62" t="s">
        <v>87</v>
      </c>
      <c r="C1" s="62" t="s">
        <v>88</v>
      </c>
      <c r="D1" s="62" t="s">
        <v>89</v>
      </c>
    </row>
    <row r="2" spans="1:4">
      <c r="A2" s="22">
        <v>0</v>
      </c>
      <c r="B2" s="63" t="s">
        <v>90</v>
      </c>
      <c r="C2" s="63"/>
      <c r="D2" s="63"/>
    </row>
    <row r="3" spans="1:4">
      <c r="A3" s="64">
        <v>1</v>
      </c>
      <c r="B3" s="65" t="s">
        <v>91</v>
      </c>
      <c r="C3" s="65" t="s">
        <v>92</v>
      </c>
      <c r="D3" s="65" t="s">
        <v>93</v>
      </c>
    </row>
    <row r="4" spans="1:4">
      <c r="A4" s="64">
        <v>1</v>
      </c>
      <c r="B4" s="65" t="s">
        <v>94</v>
      </c>
      <c r="C4" s="65" t="s">
        <v>95</v>
      </c>
      <c r="D4" s="65" t="s">
        <v>96</v>
      </c>
    </row>
    <row r="5" spans="1:4">
      <c r="A5" s="64">
        <v>1</v>
      </c>
      <c r="B5" s="65" t="s">
        <v>97</v>
      </c>
      <c r="C5" s="65" t="s">
        <v>98</v>
      </c>
      <c r="D5" s="65" t="s">
        <v>99</v>
      </c>
    </row>
    <row r="6" spans="1:4">
      <c r="A6" s="66">
        <v>2</v>
      </c>
      <c r="B6" s="51" t="s">
        <v>100</v>
      </c>
      <c r="C6" s="51" t="s">
        <v>101</v>
      </c>
      <c r="D6" s="51" t="s">
        <v>102</v>
      </c>
    </row>
    <row r="7" spans="1:4">
      <c r="A7" s="66">
        <v>2</v>
      </c>
      <c r="B7" s="51" t="s">
        <v>103</v>
      </c>
      <c r="C7" s="51" t="s">
        <v>104</v>
      </c>
      <c r="D7" s="51" t="s">
        <v>105</v>
      </c>
    </row>
    <row r="8" spans="1:4">
      <c r="A8" s="66">
        <v>2</v>
      </c>
      <c r="B8" s="51" t="s">
        <v>106</v>
      </c>
      <c r="C8" s="51" t="s">
        <v>107</v>
      </c>
      <c r="D8" s="51" t="s">
        <v>108</v>
      </c>
    </row>
    <row r="9" spans="1:4">
      <c r="A9" s="67">
        <v>3</v>
      </c>
      <c r="B9" s="68" t="s">
        <v>109</v>
      </c>
      <c r="C9" s="68" t="s">
        <v>110</v>
      </c>
      <c r="D9" s="68" t="s">
        <v>111</v>
      </c>
    </row>
    <row r="10" spans="1:4">
      <c r="A10" s="67">
        <v>3</v>
      </c>
      <c r="B10" s="68" t="s">
        <v>112</v>
      </c>
      <c r="C10" s="68" t="s">
        <v>113</v>
      </c>
      <c r="D10" s="68" t="s">
        <v>114</v>
      </c>
    </row>
    <row r="11" spans="1:4">
      <c r="A11" s="67">
        <v>3</v>
      </c>
      <c r="B11" s="68" t="s">
        <v>115</v>
      </c>
      <c r="C11" s="68" t="s">
        <v>116</v>
      </c>
      <c r="D11" s="68" t="s">
        <v>117</v>
      </c>
    </row>
    <row r="12" spans="1:4">
      <c r="A12" s="69">
        <v>4</v>
      </c>
      <c r="B12" s="70" t="s">
        <v>118</v>
      </c>
      <c r="C12" s="70" t="s">
        <v>119</v>
      </c>
      <c r="D12" s="70" t="s">
        <v>120</v>
      </c>
    </row>
    <row r="13" spans="1:4">
      <c r="A13" s="69">
        <v>4</v>
      </c>
      <c r="B13" s="70" t="s">
        <v>121</v>
      </c>
      <c r="C13" s="70" t="s">
        <v>122</v>
      </c>
      <c r="D13" s="70" t="s">
        <v>123</v>
      </c>
    </row>
    <row r="14" spans="1:4">
      <c r="A14" s="69">
        <v>4</v>
      </c>
      <c r="B14" s="70" t="s">
        <v>124</v>
      </c>
      <c r="C14" s="70" t="s">
        <v>125</v>
      </c>
      <c r="D14" s="70" t="s">
        <v>126</v>
      </c>
    </row>
    <row r="15" spans="1:4">
      <c r="A15" s="67">
        <v>5</v>
      </c>
      <c r="B15" s="68" t="s">
        <v>127</v>
      </c>
      <c r="C15" s="68" t="s">
        <v>128</v>
      </c>
      <c r="D15" s="68" t="s">
        <v>129</v>
      </c>
    </row>
    <row r="16" spans="1:4">
      <c r="A16" s="67">
        <v>5</v>
      </c>
      <c r="B16" s="68" t="s">
        <v>130</v>
      </c>
      <c r="C16" s="68" t="s">
        <v>131</v>
      </c>
      <c r="D16" s="68" t="s">
        <v>132</v>
      </c>
    </row>
    <row r="17" spans="1:4">
      <c r="A17" s="69">
        <v>6</v>
      </c>
      <c r="B17" s="70" t="s">
        <v>133</v>
      </c>
      <c r="C17" s="70" t="s">
        <v>134</v>
      </c>
      <c r="D17" s="70" t="s">
        <v>135</v>
      </c>
    </row>
    <row r="18" spans="1:4">
      <c r="A18" s="69">
        <v>6</v>
      </c>
      <c r="B18" s="70" t="s">
        <v>136</v>
      </c>
      <c r="C18" s="70" t="s">
        <v>137</v>
      </c>
      <c r="D18" s="70" t="s">
        <v>138</v>
      </c>
    </row>
    <row r="19" spans="1:4">
      <c r="A19" s="69">
        <v>6</v>
      </c>
      <c r="B19" s="70" t="s">
        <v>139</v>
      </c>
      <c r="C19" s="70" t="s">
        <v>140</v>
      </c>
      <c r="D19" s="70" t="s">
        <v>141</v>
      </c>
    </row>
    <row r="20" spans="1:4">
      <c r="A20" s="34">
        <v>7</v>
      </c>
      <c r="B20" s="71" t="s">
        <v>142</v>
      </c>
      <c r="C20" s="71" t="s">
        <v>143</v>
      </c>
      <c r="D20" s="71" t="s">
        <v>144</v>
      </c>
    </row>
    <row r="21" spans="1:4">
      <c r="A21" s="72">
        <v>8</v>
      </c>
      <c r="B21" s="73" t="s">
        <v>145</v>
      </c>
      <c r="C21" s="73" t="s">
        <v>146</v>
      </c>
      <c r="D21" s="73" t="s">
        <v>147</v>
      </c>
    </row>
    <row r="22" spans="1:4">
      <c r="A22" s="72">
        <v>8</v>
      </c>
      <c r="B22" s="73" t="s">
        <v>148</v>
      </c>
      <c r="C22" s="73" t="s">
        <v>149</v>
      </c>
      <c r="D22" s="73" t="s">
        <v>150</v>
      </c>
    </row>
    <row r="23" spans="1:4">
      <c r="A23" s="34">
        <v>9</v>
      </c>
      <c r="B23" s="71" t="s">
        <v>151</v>
      </c>
      <c r="C23" s="71" t="s">
        <v>152</v>
      </c>
      <c r="D23" s="71" t="s">
        <v>153</v>
      </c>
    </row>
    <row r="24" spans="1:4">
      <c r="A24" s="34">
        <v>9</v>
      </c>
      <c r="B24" s="71" t="s">
        <v>154</v>
      </c>
      <c r="C24" s="71" t="s">
        <v>155</v>
      </c>
      <c r="D24" s="71" t="s">
        <v>156</v>
      </c>
    </row>
    <row r="25" spans="1:4">
      <c r="A25" s="34">
        <v>9</v>
      </c>
      <c r="B25" s="71" t="s">
        <v>157</v>
      </c>
      <c r="C25" s="71" t="s">
        <v>158</v>
      </c>
      <c r="D25" s="71" t="s">
        <v>159</v>
      </c>
    </row>
    <row r="26" spans="1:4">
      <c r="A26" s="34">
        <v>9</v>
      </c>
      <c r="B26" s="71" t="s">
        <v>160</v>
      </c>
      <c r="C26" s="71" t="s">
        <v>161</v>
      </c>
      <c r="D26" s="71" t="s">
        <v>162</v>
      </c>
    </row>
    <row r="27" spans="1:4">
      <c r="A27" s="72">
        <v>10</v>
      </c>
      <c r="B27" s="73" t="s">
        <v>163</v>
      </c>
      <c r="C27" s="73" t="s">
        <v>164</v>
      </c>
      <c r="D27" s="73" t="s">
        <v>165</v>
      </c>
    </row>
    <row r="28" spans="1:4">
      <c r="A28" s="72">
        <v>10</v>
      </c>
      <c r="B28" s="73" t="s">
        <v>166</v>
      </c>
      <c r="C28" s="73" t="s">
        <v>167</v>
      </c>
      <c r="D28" s="73" t="s">
        <v>168</v>
      </c>
    </row>
    <row r="29" spans="1:4">
      <c r="A29" s="72">
        <v>10</v>
      </c>
      <c r="B29" s="73" t="s">
        <v>169</v>
      </c>
      <c r="C29" s="73" t="s">
        <v>170</v>
      </c>
      <c r="D29" s="73" t="s">
        <v>171</v>
      </c>
    </row>
    <row r="30" spans="1:4">
      <c r="A30" s="72">
        <v>10</v>
      </c>
      <c r="B30" s="73" t="s">
        <v>172</v>
      </c>
      <c r="C30" s="73" t="s">
        <v>173</v>
      </c>
      <c r="D30" s="73" t="s">
        <v>174</v>
      </c>
    </row>
    <row r="31" spans="1:4">
      <c r="A31" s="72">
        <v>10</v>
      </c>
      <c r="B31" s="73" t="s">
        <v>175</v>
      </c>
      <c r="C31" s="73" t="s">
        <v>176</v>
      </c>
      <c r="D31" s="73" t="s">
        <v>177</v>
      </c>
    </row>
    <row r="32" spans="1:4">
      <c r="A32" s="72">
        <v>10</v>
      </c>
      <c r="B32" s="73" t="s">
        <v>178</v>
      </c>
      <c r="C32" s="73" t="s">
        <v>179</v>
      </c>
      <c r="D32" s="73" t="s">
        <v>178</v>
      </c>
    </row>
    <row r="33" spans="1:4">
      <c r="A33" s="74">
        <v>11</v>
      </c>
      <c r="B33" s="75" t="s">
        <v>180</v>
      </c>
      <c r="C33" s="75" t="s">
        <v>181</v>
      </c>
      <c r="D33" s="75" t="s">
        <v>182</v>
      </c>
    </row>
    <row r="34" spans="1:4">
      <c r="A34" s="76">
        <v>12</v>
      </c>
      <c r="B34" s="77" t="s">
        <v>183</v>
      </c>
      <c r="C34" s="77" t="s">
        <v>184</v>
      </c>
      <c r="D34" s="77" t="s">
        <v>185</v>
      </c>
    </row>
    <row r="35" spans="1:4">
      <c r="A35" s="76">
        <v>12</v>
      </c>
      <c r="B35" s="77" t="s">
        <v>186</v>
      </c>
      <c r="C35" s="77" t="s">
        <v>187</v>
      </c>
      <c r="D35" s="77" t="s">
        <v>188</v>
      </c>
    </row>
    <row r="36" spans="1:4">
      <c r="A36" s="74">
        <v>13</v>
      </c>
      <c r="B36" s="75" t="s">
        <v>189</v>
      </c>
      <c r="C36" s="75" t="s">
        <v>190</v>
      </c>
      <c r="D36" s="75" t="s">
        <v>191</v>
      </c>
    </row>
    <row r="37" spans="1:4">
      <c r="A37" s="74">
        <v>13</v>
      </c>
      <c r="B37" s="75" t="s">
        <v>192</v>
      </c>
      <c r="C37" s="75" t="s">
        <v>193</v>
      </c>
      <c r="D37" s="75" t="s">
        <v>194</v>
      </c>
    </row>
    <row r="38" spans="1:4">
      <c r="A38" s="76">
        <v>14</v>
      </c>
      <c r="B38" s="77" t="s">
        <v>195</v>
      </c>
      <c r="C38" s="77" t="s">
        <v>196</v>
      </c>
      <c r="D38" s="77" t="s">
        <v>197</v>
      </c>
    </row>
    <row r="39" spans="1:4">
      <c r="A39" s="76">
        <v>14</v>
      </c>
      <c r="B39" s="77" t="s">
        <v>198</v>
      </c>
      <c r="C39" s="77" t="s">
        <v>199</v>
      </c>
      <c r="D39" s="77" t="s">
        <v>200</v>
      </c>
    </row>
    <row r="40" spans="1:4">
      <c r="A40" s="76">
        <v>14</v>
      </c>
      <c r="B40" s="77" t="s">
        <v>201</v>
      </c>
      <c r="C40" s="77" t="s">
        <v>202</v>
      </c>
      <c r="D40" s="77" t="s">
        <v>203</v>
      </c>
    </row>
    <row r="41" spans="1:4">
      <c r="A41" s="35">
        <v>15</v>
      </c>
      <c r="B41" s="78" t="s">
        <v>204</v>
      </c>
      <c r="C41" s="78" t="s">
        <v>205</v>
      </c>
      <c r="D41" s="78" t="s">
        <v>206</v>
      </c>
    </row>
    <row r="42" spans="1:4">
      <c r="A42" s="35">
        <v>15</v>
      </c>
      <c r="B42" s="78" t="s">
        <v>207</v>
      </c>
      <c r="C42" s="78" t="s">
        <v>208</v>
      </c>
      <c r="D42" s="78" t="s">
        <v>209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容器</vt:lpstr>
      <vt:lpstr>超限堆叠</vt:lpstr>
      <vt:lpstr>特殊</vt:lpstr>
      <vt:lpstr>唱片</vt:lpstr>
      <vt:lpstr>幽匿感测体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acacia acacia</cp:lastModifiedBy>
  <dcterms:created xsi:type="dcterms:W3CDTF">2024-12-03T00:50:00Z</dcterms:created>
  <dcterms:modified xsi:type="dcterms:W3CDTF">2026-07-31T13:08:20Z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2AECFBD5CB9B4466AEE74A4E7DD05789_12</vt:lpwstr>
  </property>
  <property fmtid="{D5CDD505-2E9C-101B-9397-08002B2CF9AE}" pid="3" name="KSOProductBuildVer">
    <vt:lpwstr>2052-12.8.2.21177</vt:lpwstr>
  </property>
</Properties>
</file>