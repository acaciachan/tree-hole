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杂项 misc\各种机器效率\"/>
    </mc:Choice>
  </mc:AlternateContent>
  <xr:revisionPtr revIDLastSave="0" documentId="13_ncr:1_{66382B43-F257-4082-9471-DA8343598371}" xr6:coauthVersionLast="47" xr6:coauthVersionMax="47" xr10:uidLastSave="{00000000-0000-0000-0000-000000000000}"/>
  <bookViews>
    <workbookView xWindow="1820" yWindow="1820" windowWidth="19200" windowHeight="10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M22" i="1"/>
  <c r="L22" i="1"/>
  <c r="H22" i="1"/>
  <c r="G22" i="1"/>
  <c r="N21" i="1"/>
  <c r="M21" i="1"/>
  <c r="L21" i="1"/>
  <c r="H21" i="1"/>
  <c r="G21" i="1"/>
  <c r="N20" i="1"/>
  <c r="M20" i="1"/>
  <c r="L20" i="1"/>
  <c r="H20" i="1"/>
  <c r="G20" i="1"/>
  <c r="N18" i="1"/>
  <c r="M18" i="1"/>
  <c r="L18" i="1"/>
  <c r="H18" i="1"/>
  <c r="G18" i="1"/>
  <c r="N17" i="1"/>
  <c r="M17" i="1"/>
  <c r="L17" i="1"/>
  <c r="H17" i="1"/>
  <c r="G17" i="1"/>
  <c r="N16" i="1"/>
  <c r="M16" i="1"/>
  <c r="L16" i="1"/>
  <c r="H16" i="1"/>
  <c r="G16" i="1"/>
  <c r="N15" i="1"/>
  <c r="M15" i="1"/>
  <c r="L15" i="1"/>
  <c r="H15" i="1"/>
  <c r="G15" i="1"/>
  <c r="N14" i="1"/>
  <c r="M14" i="1"/>
  <c r="L14" i="1"/>
  <c r="H14" i="1"/>
  <c r="G14" i="1"/>
  <c r="N13" i="1"/>
  <c r="M13" i="1"/>
  <c r="L13" i="1"/>
  <c r="H13" i="1"/>
  <c r="G13" i="1"/>
  <c r="N10" i="1"/>
  <c r="M10" i="1"/>
  <c r="L10" i="1"/>
  <c r="H10" i="1"/>
  <c r="G10" i="1"/>
  <c r="N9" i="1"/>
  <c r="M9" i="1"/>
  <c r="L9" i="1"/>
  <c r="H9" i="1"/>
  <c r="G9" i="1"/>
  <c r="N7" i="1"/>
  <c r="M7" i="1"/>
  <c r="L7" i="1"/>
  <c r="H7" i="1"/>
  <c r="G7" i="1"/>
  <c r="N6" i="1"/>
  <c r="M6" i="1"/>
  <c r="L6" i="1"/>
  <c r="H6" i="1"/>
  <c r="G6" i="1"/>
  <c r="N5" i="1"/>
  <c r="M5" i="1"/>
  <c r="L5" i="1"/>
  <c r="H5" i="1"/>
  <c r="G5" i="1"/>
  <c r="N4" i="1"/>
  <c r="M4" i="1"/>
  <c r="L4" i="1"/>
  <c r="H4" i="1"/>
  <c r="G4" i="1"/>
  <c r="N3" i="1"/>
  <c r="M3" i="1"/>
  <c r="L3" i="1"/>
  <c r="H3" i="1"/>
  <c r="G3" i="1"/>
  <c r="N2" i="1"/>
  <c r="M2" i="1"/>
  <c r="L2" i="1"/>
  <c r="H2" i="1"/>
  <c r="G2" i="1"/>
</calcChain>
</file>

<file path=xl/sharedStrings.xml><?xml version="1.0" encoding="utf-8"?>
<sst xmlns="http://schemas.openxmlformats.org/spreadsheetml/2006/main" count="47" uniqueCount="17">
  <si>
    <t>单双向</t>
  </si>
  <si>
    <t>上下</t>
  </si>
  <si>
    <t>宽度</t>
  </si>
  <si>
    <t>飞行器数量</t>
  </si>
  <si>
    <t>推动上限</t>
  </si>
  <si>
    <t>长度</t>
  </si>
  <si>
    <t>72整机一轮</t>
  </si>
  <si>
    <t>72k面积</t>
  </si>
  <si>
    <t>实际</t>
  </si>
  <si>
    <t>理论</t>
  </si>
  <si>
    <t>漏冰率</t>
  </si>
  <si>
    <t>漏冰期望</t>
  </si>
  <si>
    <t>周期</t>
  </si>
  <si>
    <t>单向</t>
  </si>
  <si>
    <t>上吸</t>
  </si>
  <si>
    <t>下推</t>
  </si>
  <si>
    <t>双向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</si>
</sst>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5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2" borderId="1"/>
    <xf numFmtId="9" fontId="3" fillId="2" borderId="1" applyFont="0" applyFill="0" applyBorder="0" applyAlignment="0" applyProtection="0">
      <alignment vertical="center"/>
    </xf>
  </cellStyleXfs>
  <cellXfs count="6">
    <xf numFmtId="0" fontId="0" fillId="0" borderId="0" xfId="0" applyFill="1" applyBorder="1" applyAlignment="1">
      <alignment vertical="center"/>
    </xf>
    <xf numFmtId="0" fontId="1" fillId="2" borderId="1" xfId="0" applyNumberFormat="1" applyFont="1" applyFill="1" applyBorder="1" applyAlignment="1"/>
    <xf numFmtId="0" fontId="2" fillId="2" borderId="1" xfId="0" applyNumberFormat="1" applyFont="1" applyFill="1" applyBorder="1" applyAlignment="1"/>
    <xf numFmtId="176" fontId="2" fillId="2" borderId="1" xfId="1" applyNumberFormat="1" applyFont="1" applyFill="1" applyBorder="1" applyAlignment="1"/>
    <xf numFmtId="0" fontId="1" fillId="2" borderId="1" xfId="0" applyNumberFormat="1" applyFont="1" applyFill="1" applyBorder="1"/>
    <xf numFmtId="0" fontId="2" fillId="2" borderId="1" xfId="0" applyNumberFormat="1" applyFont="1" applyFill="1" applyBorder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/>
  </sheetViews>
  <sheetFormatPr defaultRowHeight="14"/>
  <cols>
    <col min="1" max="1" width="7.58203125" style="5" bestFit="1" customWidth="1"/>
    <col min="2" max="3" width="5.58203125" style="5" bestFit="1" customWidth="1"/>
    <col min="4" max="4" width="11.6640625" style="5" bestFit="1" customWidth="1"/>
    <col min="5" max="5" width="9.58203125" style="5" bestFit="1" customWidth="1"/>
    <col min="6" max="6" width="5.58203125" style="5" bestFit="1" customWidth="1"/>
    <col min="7" max="7" width="13.9140625" style="5" bestFit="1" customWidth="1"/>
    <col min="8" max="8" width="8.75" style="5" bestFit="1" customWidth="1"/>
    <col min="9" max="9" width="5.58203125" style="5" customWidth="1"/>
    <col min="10" max="11" width="6.58203125" style="5" bestFit="1" customWidth="1"/>
    <col min="12" max="12" width="9" style="5" bestFit="1" customWidth="1"/>
    <col min="13" max="13" width="12.75" style="5" bestFit="1" customWidth="1"/>
    <col min="14" max="14" width="5.58203125" style="5" bestFit="1" customWidth="1"/>
    <col min="15" max="26" width="8.9140625" style="5"/>
  </cols>
  <sheetData>
    <row r="1" spans="1:14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 t="s">
        <v>13</v>
      </c>
      <c r="B2" s="2" t="s">
        <v>14</v>
      </c>
      <c r="C2" s="2">
        <v>3</v>
      </c>
      <c r="D2" s="2">
        <v>12</v>
      </c>
      <c r="E2" s="2">
        <v>12</v>
      </c>
      <c r="F2" s="2">
        <v>63</v>
      </c>
      <c r="G2" s="2" t="str">
        <f t="shared" ref="G2:G7" si="0">"总"&amp;5*2*E2*D2&amp;"漏"&amp;ROUNDUP(5*2*E2*D2*L2,0)</f>
        <v>总1440漏0</v>
      </c>
      <c r="H2" s="2">
        <f t="shared" ref="H2:H7" si="1">C2*D2*F2*5</f>
        <v>11340</v>
      </c>
      <c r="J2" s="2">
        <v>14400</v>
      </c>
      <c r="K2" s="2">
        <v>14400</v>
      </c>
      <c r="L2" s="3">
        <f t="shared" ref="L2:L7" si="2">1-J2/K2</f>
        <v>0</v>
      </c>
      <c r="M2" s="2" t="e">
        <f t="shared" ref="M2:M7" si="3">1/L2</f>
        <v>#DIV/0!</v>
      </c>
      <c r="N2" s="2">
        <f t="shared" ref="N2:N7" si="4">10*E2*D2</f>
        <v>1440</v>
      </c>
    </row>
    <row r="3" spans="1:14">
      <c r="A3" s="2" t="s">
        <v>13</v>
      </c>
      <c r="B3" s="2" t="s">
        <v>14</v>
      </c>
      <c r="C3" s="2">
        <v>3</v>
      </c>
      <c r="D3" s="2">
        <v>12</v>
      </c>
      <c r="E3" s="2">
        <v>11</v>
      </c>
      <c r="G3" s="2" t="str">
        <f t="shared" si="0"/>
        <v>总1320漏1320</v>
      </c>
      <c r="H3" s="2">
        <f t="shared" si="1"/>
        <v>0</v>
      </c>
      <c r="K3" s="2">
        <v>14400</v>
      </c>
      <c r="L3" s="3">
        <f t="shared" si="2"/>
        <v>1</v>
      </c>
      <c r="M3" s="2">
        <f t="shared" si="3"/>
        <v>1</v>
      </c>
      <c r="N3" s="2">
        <f t="shared" si="4"/>
        <v>1320</v>
      </c>
    </row>
    <row r="4" spans="1:14">
      <c r="A4" s="2" t="s">
        <v>13</v>
      </c>
      <c r="B4" s="2" t="s">
        <v>14</v>
      </c>
      <c r="C4" s="2">
        <v>3</v>
      </c>
      <c r="D4" s="2">
        <v>12</v>
      </c>
      <c r="E4" s="2">
        <v>10</v>
      </c>
      <c r="F4" s="2">
        <v>52</v>
      </c>
      <c r="G4" s="2" t="str">
        <f t="shared" si="0"/>
        <v>总1200漏7</v>
      </c>
      <c r="H4" s="1">
        <f t="shared" si="1"/>
        <v>9360</v>
      </c>
      <c r="J4" s="2">
        <v>14320</v>
      </c>
      <c r="K4" s="2">
        <v>14400</v>
      </c>
      <c r="L4" s="3">
        <f t="shared" si="2"/>
        <v>5.5555555555555358E-3</v>
      </c>
      <c r="M4" s="2">
        <f t="shared" si="3"/>
        <v>180.00000000000063</v>
      </c>
      <c r="N4" s="2">
        <f t="shared" si="4"/>
        <v>1200</v>
      </c>
    </row>
    <row r="5" spans="1:14">
      <c r="A5" s="2" t="s">
        <v>13</v>
      </c>
      <c r="B5" s="2" t="s">
        <v>14</v>
      </c>
      <c r="C5" s="2">
        <v>3</v>
      </c>
      <c r="D5" s="2">
        <v>11</v>
      </c>
      <c r="E5" s="2">
        <v>12</v>
      </c>
      <c r="F5" s="2">
        <v>57</v>
      </c>
      <c r="G5" s="2" t="str">
        <f t="shared" si="0"/>
        <v>总1320漏1320</v>
      </c>
      <c r="H5" s="2">
        <f t="shared" si="1"/>
        <v>9405</v>
      </c>
      <c r="K5" s="2">
        <v>14400</v>
      </c>
      <c r="L5" s="3">
        <f t="shared" si="2"/>
        <v>1</v>
      </c>
      <c r="M5" s="2">
        <f t="shared" si="3"/>
        <v>1</v>
      </c>
      <c r="N5" s="2">
        <f t="shared" si="4"/>
        <v>1320</v>
      </c>
    </row>
    <row r="6" spans="1:14">
      <c r="A6" s="2" t="s">
        <v>13</v>
      </c>
      <c r="B6" s="2" t="s">
        <v>14</v>
      </c>
      <c r="C6" s="2">
        <v>3</v>
      </c>
      <c r="D6" s="2">
        <v>11</v>
      </c>
      <c r="E6" s="2">
        <v>11</v>
      </c>
      <c r="F6" s="2">
        <v>52</v>
      </c>
      <c r="G6" s="2" t="str">
        <f t="shared" si="0"/>
        <v>总1210漏38</v>
      </c>
      <c r="H6" s="2">
        <f t="shared" si="1"/>
        <v>8580</v>
      </c>
      <c r="J6" s="2">
        <v>13950</v>
      </c>
      <c r="K6" s="2">
        <v>14400</v>
      </c>
      <c r="L6" s="3">
        <f t="shared" si="2"/>
        <v>3.125E-2</v>
      </c>
      <c r="M6" s="2">
        <f t="shared" si="3"/>
        <v>32</v>
      </c>
      <c r="N6" s="2">
        <f t="shared" si="4"/>
        <v>1210</v>
      </c>
    </row>
    <row r="7" spans="1:14">
      <c r="A7" s="2" t="s">
        <v>13</v>
      </c>
      <c r="B7" s="2" t="s">
        <v>14</v>
      </c>
      <c r="C7" s="2">
        <v>3</v>
      </c>
      <c r="D7" s="2">
        <v>10</v>
      </c>
      <c r="E7" s="2">
        <v>12</v>
      </c>
      <c r="F7" s="2">
        <v>51</v>
      </c>
      <c r="G7" s="2" t="str">
        <f t="shared" si="0"/>
        <v>总1200漏123</v>
      </c>
      <c r="H7" s="2">
        <f t="shared" si="1"/>
        <v>7650</v>
      </c>
      <c r="J7" s="2">
        <v>12930</v>
      </c>
      <c r="K7" s="2">
        <v>14400</v>
      </c>
      <c r="L7" s="3">
        <f t="shared" si="2"/>
        <v>0.1020833333333333</v>
      </c>
      <c r="M7" s="2">
        <f t="shared" si="3"/>
        <v>9.7959183673469408</v>
      </c>
      <c r="N7" s="2">
        <f t="shared" si="4"/>
        <v>1200</v>
      </c>
    </row>
    <row r="8" spans="1:14">
      <c r="H8" s="1"/>
      <c r="L8" s="3"/>
    </row>
    <row r="9" spans="1:14">
      <c r="A9" s="2" t="s">
        <v>13</v>
      </c>
      <c r="B9" s="2" t="s">
        <v>15</v>
      </c>
      <c r="C9" s="2">
        <v>4</v>
      </c>
      <c r="D9" s="2">
        <v>10</v>
      </c>
      <c r="E9" s="2">
        <v>12</v>
      </c>
      <c r="F9" s="2">
        <v>54</v>
      </c>
      <c r="G9" s="2" t="str">
        <f>"总"&amp;5*2*E9*D9&amp;"漏"&amp;ROUNDUP(5*2*E9*D9*L9,0)</f>
        <v>总1200漏19</v>
      </c>
      <c r="H9" s="1">
        <f>C9*D9*F9*5</f>
        <v>10800</v>
      </c>
      <c r="J9" s="2">
        <v>14180</v>
      </c>
      <c r="K9" s="2">
        <v>14400</v>
      </c>
      <c r="L9" s="3">
        <f>1-J9/K9</f>
        <v>1.5277777777777724E-2</v>
      </c>
      <c r="M9" s="2">
        <f>1/L9</f>
        <v>65.454545454545681</v>
      </c>
      <c r="N9" s="2">
        <f>10*E9*D9</f>
        <v>1200</v>
      </c>
    </row>
    <row r="10" spans="1:14">
      <c r="A10" s="2" t="s">
        <v>13</v>
      </c>
      <c r="B10" s="2" t="s">
        <v>15</v>
      </c>
      <c r="C10" s="2">
        <v>4</v>
      </c>
      <c r="D10" s="2">
        <v>9</v>
      </c>
      <c r="E10" s="2">
        <v>12</v>
      </c>
      <c r="F10" s="2">
        <v>48</v>
      </c>
      <c r="G10" s="2" t="str">
        <f>"总"&amp;5*2*E10*D10&amp;"漏"&amp;ROUNDUP(5*2*E10*D10*L10,0)</f>
        <v>总1080漏138</v>
      </c>
      <c r="H10" s="2">
        <f>C10*D10*F10*5</f>
        <v>8640</v>
      </c>
      <c r="J10" s="2">
        <v>12560</v>
      </c>
      <c r="K10" s="2">
        <v>14400</v>
      </c>
      <c r="L10" s="3">
        <f>1-J10/K10</f>
        <v>0.12777777777777777</v>
      </c>
      <c r="M10" s="2">
        <f>1/L10</f>
        <v>7.8260869565217401</v>
      </c>
      <c r="N10" s="2">
        <f>10*E10*D10</f>
        <v>1080</v>
      </c>
    </row>
    <row r="11" spans="1:14">
      <c r="L11" s="3"/>
    </row>
    <row r="12" spans="1:14">
      <c r="L12" s="3"/>
    </row>
    <row r="13" spans="1:14">
      <c r="A13" s="2" t="s">
        <v>16</v>
      </c>
      <c r="B13" s="2" t="s">
        <v>15</v>
      </c>
      <c r="C13" s="2">
        <v>4</v>
      </c>
      <c r="D13" s="2">
        <v>8</v>
      </c>
      <c r="E13" s="2">
        <v>12</v>
      </c>
      <c r="F13" s="2">
        <v>80</v>
      </c>
      <c r="G13" s="2" t="str">
        <f t="shared" ref="G13:G18" si="5">"总"&amp;5*2*E13*D13&amp;"漏"&amp;ROUNDUP(5*2*E13*D13*L13,0)</f>
        <v>总960漏0</v>
      </c>
      <c r="H13" s="2">
        <f t="shared" ref="H13:H18" si="6">C13*D13*F13*5</f>
        <v>12800</v>
      </c>
      <c r="J13" s="2">
        <v>14400</v>
      </c>
      <c r="K13" s="2">
        <v>14400</v>
      </c>
      <c r="L13" s="3">
        <f t="shared" ref="L13:L18" si="7">1-J13/K13</f>
        <v>0</v>
      </c>
      <c r="M13" s="2" t="e">
        <f t="shared" ref="M13:M18" si="8">1/L13</f>
        <v>#DIV/0!</v>
      </c>
      <c r="N13" s="2">
        <f t="shared" ref="N13:N18" si="9">10*E13*D13</f>
        <v>960</v>
      </c>
    </row>
    <row r="14" spans="1:14">
      <c r="A14" s="2" t="s">
        <v>16</v>
      </c>
      <c r="B14" s="2" t="s">
        <v>15</v>
      </c>
      <c r="C14" s="2">
        <v>4</v>
      </c>
      <c r="D14" s="2">
        <v>7</v>
      </c>
      <c r="E14" s="2">
        <v>12</v>
      </c>
      <c r="F14" s="2">
        <v>69</v>
      </c>
      <c r="G14" s="2" t="str">
        <f t="shared" si="5"/>
        <v>总840漏20</v>
      </c>
      <c r="H14" s="1">
        <f t="shared" si="6"/>
        <v>9660</v>
      </c>
      <c r="J14" s="2">
        <v>14070</v>
      </c>
      <c r="K14" s="2">
        <v>14400</v>
      </c>
      <c r="L14" s="3">
        <f t="shared" si="7"/>
        <v>2.2916666666666696E-2</v>
      </c>
      <c r="M14" s="2">
        <f t="shared" si="8"/>
        <v>43.636363636363583</v>
      </c>
      <c r="N14" s="2">
        <f t="shared" si="9"/>
        <v>840</v>
      </c>
    </row>
    <row r="15" spans="1:14">
      <c r="A15" s="2" t="s">
        <v>16</v>
      </c>
      <c r="B15" s="2" t="s">
        <v>15</v>
      </c>
      <c r="C15" s="2">
        <v>4</v>
      </c>
      <c r="D15" s="2">
        <v>7</v>
      </c>
      <c r="E15" s="2">
        <v>12</v>
      </c>
      <c r="F15" s="2">
        <v>68</v>
      </c>
      <c r="G15" s="2" t="str">
        <f t="shared" si="5"/>
        <v>总840漏25</v>
      </c>
      <c r="H15" s="2">
        <f t="shared" si="6"/>
        <v>9520</v>
      </c>
      <c r="J15" s="2">
        <v>13980</v>
      </c>
      <c r="K15" s="2">
        <v>14400</v>
      </c>
      <c r="L15" s="3">
        <f t="shared" si="7"/>
        <v>2.9166666666666674E-2</v>
      </c>
      <c r="M15" s="2">
        <f t="shared" si="8"/>
        <v>34.285714285714278</v>
      </c>
      <c r="N15" s="2">
        <f t="shared" si="9"/>
        <v>840</v>
      </c>
    </row>
    <row r="16" spans="1:14">
      <c r="A16" s="2" t="s">
        <v>16</v>
      </c>
      <c r="B16" s="2" t="s">
        <v>15</v>
      </c>
      <c r="C16" s="2">
        <v>4</v>
      </c>
      <c r="D16" s="2">
        <v>8</v>
      </c>
      <c r="E16" s="2">
        <v>9</v>
      </c>
      <c r="F16" s="2">
        <v>60</v>
      </c>
      <c r="G16" s="2" t="str">
        <f t="shared" si="5"/>
        <v>总720漏20</v>
      </c>
      <c r="H16" s="1">
        <f t="shared" si="6"/>
        <v>9600</v>
      </c>
      <c r="J16" s="2">
        <v>14000</v>
      </c>
      <c r="K16" s="2">
        <v>14400</v>
      </c>
      <c r="L16" s="3">
        <f t="shared" si="7"/>
        <v>2.777777777777779E-2</v>
      </c>
      <c r="M16" s="2">
        <f t="shared" si="8"/>
        <v>35.999999999999986</v>
      </c>
      <c r="N16" s="2">
        <f t="shared" si="9"/>
        <v>720</v>
      </c>
    </row>
    <row r="17" spans="1:14">
      <c r="A17" s="2" t="s">
        <v>16</v>
      </c>
      <c r="B17" s="2" t="s">
        <v>15</v>
      </c>
      <c r="C17" s="2">
        <v>4</v>
      </c>
      <c r="D17" s="2">
        <v>7</v>
      </c>
      <c r="E17" s="2">
        <v>12</v>
      </c>
      <c r="F17" s="2">
        <v>80</v>
      </c>
      <c r="G17" s="2" t="str">
        <f t="shared" si="5"/>
        <v>总840漏5</v>
      </c>
      <c r="H17" s="2">
        <f t="shared" si="6"/>
        <v>11200</v>
      </c>
      <c r="J17" s="2">
        <v>14330</v>
      </c>
      <c r="K17" s="2">
        <v>14400</v>
      </c>
      <c r="L17" s="3">
        <f t="shared" si="7"/>
        <v>4.8611111111110938E-3</v>
      </c>
      <c r="M17" s="2">
        <f t="shared" si="8"/>
        <v>205.71428571428643</v>
      </c>
      <c r="N17" s="2">
        <f t="shared" si="9"/>
        <v>840</v>
      </c>
    </row>
    <row r="18" spans="1:14">
      <c r="A18" s="2" t="s">
        <v>16</v>
      </c>
      <c r="B18" s="2" t="s">
        <v>15</v>
      </c>
      <c r="C18" s="2">
        <v>4</v>
      </c>
      <c r="D18" s="2">
        <v>6</v>
      </c>
      <c r="E18" s="2">
        <v>12</v>
      </c>
      <c r="F18" s="2">
        <v>68</v>
      </c>
      <c r="G18" s="2" t="str">
        <f t="shared" si="5"/>
        <v>总720漏132</v>
      </c>
      <c r="H18" s="2">
        <f t="shared" si="6"/>
        <v>8160</v>
      </c>
      <c r="J18" s="2">
        <v>11770</v>
      </c>
      <c r="K18" s="2">
        <v>14400</v>
      </c>
      <c r="L18" s="3">
        <f t="shared" si="7"/>
        <v>0.18263888888888891</v>
      </c>
      <c r="M18" s="2">
        <f t="shared" si="8"/>
        <v>5.4752851711026613</v>
      </c>
      <c r="N18" s="2">
        <f t="shared" si="9"/>
        <v>720</v>
      </c>
    </row>
    <row r="19" spans="1:14">
      <c r="L19" s="3"/>
    </row>
    <row r="20" spans="1:14">
      <c r="A20" s="2" t="s">
        <v>16</v>
      </c>
      <c r="B20" s="2" t="s">
        <v>15</v>
      </c>
      <c r="C20" s="2">
        <v>3</v>
      </c>
      <c r="D20" s="2">
        <v>8</v>
      </c>
      <c r="E20" s="2">
        <v>12</v>
      </c>
      <c r="F20" s="2">
        <v>80</v>
      </c>
      <c r="G20" s="2" t="str">
        <f>"总"&amp;5*2*E20*D20&amp;"漏"&amp;ROUNDUP(5*2*E20*D20*L20,0)</f>
        <v>总960漏960</v>
      </c>
      <c r="H20" s="2">
        <f>C20*D20*F20*5</f>
        <v>9600</v>
      </c>
      <c r="K20" s="2">
        <v>14400</v>
      </c>
      <c r="L20" s="3">
        <f>1-J20/K20</f>
        <v>1</v>
      </c>
      <c r="M20" s="2">
        <f>1/L20</f>
        <v>1</v>
      </c>
      <c r="N20" s="2">
        <f>10*E20*D20</f>
        <v>960</v>
      </c>
    </row>
    <row r="21" spans="1:14">
      <c r="A21" s="2" t="s">
        <v>16</v>
      </c>
      <c r="B21" s="2" t="s">
        <v>15</v>
      </c>
      <c r="C21" s="2">
        <v>3</v>
      </c>
      <c r="D21" s="2">
        <v>7</v>
      </c>
      <c r="E21" s="2">
        <v>12</v>
      </c>
      <c r="F21" s="2">
        <v>68</v>
      </c>
      <c r="G21" s="2" t="str">
        <f>"总"&amp;5*2*E21*D21&amp;"漏"&amp;ROUNDUP(5*2*E21*D21*L21,0)</f>
        <v>总840漏840</v>
      </c>
      <c r="H21" s="2">
        <f>C21*D21*F21*5</f>
        <v>7140</v>
      </c>
      <c r="K21" s="2">
        <v>14400</v>
      </c>
      <c r="L21" s="3">
        <f>1-J21/K21</f>
        <v>1</v>
      </c>
      <c r="M21" s="2">
        <f>1/L21</f>
        <v>1</v>
      </c>
      <c r="N21" s="2">
        <f>10*E21*D21</f>
        <v>840</v>
      </c>
    </row>
    <row r="22" spans="1:14">
      <c r="A22" s="2" t="s">
        <v>16</v>
      </c>
      <c r="B22" s="2" t="s">
        <v>15</v>
      </c>
      <c r="C22" s="2">
        <v>3</v>
      </c>
      <c r="D22" s="2">
        <v>8</v>
      </c>
      <c r="E22" s="2">
        <v>9</v>
      </c>
      <c r="F22" s="2">
        <v>60</v>
      </c>
      <c r="G22" s="2" t="str">
        <f>"总"&amp;5*2*E22*D22&amp;"漏"&amp;ROUNDUP(5*2*E22*D22*L22,0)</f>
        <v>总720漏720</v>
      </c>
      <c r="H22" s="2">
        <f>C22*D22*F22*5</f>
        <v>7200</v>
      </c>
      <c r="K22" s="2">
        <v>14400</v>
      </c>
      <c r="L22" s="3">
        <f>1-J22/K22</f>
        <v>1</v>
      </c>
      <c r="M22" s="2">
        <f>1/L22</f>
        <v>1</v>
      </c>
      <c r="N22" s="2">
        <f>10*E22*D22</f>
        <v>720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acacia acacia</cp:lastModifiedBy>
  <dcterms:created xsi:type="dcterms:W3CDTF">2024-12-03T00:50:14Z</dcterms:created>
  <dcterms:modified xsi:type="dcterms:W3CDTF">2025-02-21T04:01:47Z</dcterms:modified>
</cp:coreProperties>
</file>