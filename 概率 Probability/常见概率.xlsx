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常用\概率\"/>
    </mc:Choice>
  </mc:AlternateContent>
  <xr:revisionPtr revIDLastSave="0" documentId="13_ncr:1_{B61A832B-4443-4311-84E6-99022DED790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普通类" sheetId="1" r:id="rId1"/>
    <sheet name="单阶段" sheetId="6" r:id="rId2"/>
    <sheet name="降水类" sheetId="4" r:id="rId3"/>
    <sheet name="甘蔗类" sheetId="3" r:id="rId4"/>
    <sheet name="海带类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C3" i="6"/>
  <c r="C2" i="6"/>
  <c r="E12" i="1"/>
  <c r="E16" i="1"/>
  <c r="E14" i="1"/>
  <c r="E13" i="1"/>
  <c r="E9" i="1"/>
  <c r="E8" i="1"/>
  <c r="E10" i="1"/>
  <c r="E7" i="1"/>
  <c r="E2" i="1"/>
  <c r="B2" i="2"/>
  <c r="B5" i="2"/>
  <c r="B4" i="2"/>
  <c r="B3" i="2"/>
</calcChain>
</file>

<file path=xl/sharedStrings.xml><?xml version="1.0" encoding="utf-8"?>
<sst xmlns="http://schemas.openxmlformats.org/spreadsheetml/2006/main" count="104" uniqueCount="78">
  <si>
    <t>类</t>
    <phoneticPr fontId="1" type="noConversion"/>
  </si>
  <si>
    <t>stage</t>
    <phoneticPr fontId="1" type="noConversion"/>
  </si>
  <si>
    <t>p</t>
    <phoneticPr fontId="1" type="noConversion"/>
  </si>
  <si>
    <t>p0</t>
    <phoneticPr fontId="1" type="noConversion"/>
  </si>
  <si>
    <t>紫水晶</t>
    <phoneticPr fontId="1" type="noConversion"/>
  </si>
  <si>
    <t>滴水石锥滴岩浆</t>
    <phoneticPr fontId="1" type="noConversion"/>
  </si>
  <si>
    <t>滴水石锥滴水</t>
    <phoneticPr fontId="1" type="noConversion"/>
  </si>
  <si>
    <t>炼药锅接雨水</t>
    <phoneticPr fontId="1" type="noConversion"/>
  </si>
  <si>
    <t>炼药锅积细雪</t>
    <phoneticPr fontId="1" type="noConversion"/>
  </si>
  <si>
    <t>滴水石锥上的泥巴干燥变成黏土</t>
    <phoneticPr fontId="1" type="noConversion"/>
  </si>
  <si>
    <t>滴水石锥生长</t>
    <phoneticPr fontId="1" type="noConversion"/>
  </si>
  <si>
    <t>45/256</t>
    <phoneticPr fontId="1" type="noConversion"/>
  </si>
  <si>
    <t>15/256</t>
    <phoneticPr fontId="1" type="noConversion"/>
  </si>
  <si>
    <t>64/5625</t>
    <phoneticPr fontId="1" type="noConversion"/>
  </si>
  <si>
    <t>地狱疣</t>
    <phoneticPr fontId="1" type="noConversion"/>
  </si>
  <si>
    <t>甘蔗</t>
    <phoneticPr fontId="1" type="noConversion"/>
  </si>
  <si>
    <t>仙人掌</t>
    <phoneticPr fontId="1" type="noConversion"/>
  </si>
  <si>
    <t>可可豆</t>
    <phoneticPr fontId="1" type="noConversion"/>
  </si>
  <si>
    <t>甜浆果</t>
    <phoneticPr fontId="1" type="noConversion"/>
  </si>
  <si>
    <t>发光浆果</t>
    <phoneticPr fontId="1" type="noConversion"/>
  </si>
  <si>
    <t>海带</t>
    <phoneticPr fontId="1" type="noConversion"/>
  </si>
  <si>
    <t>高度限制</t>
    <phoneticPr fontId="1" type="noConversion"/>
  </si>
  <si>
    <t>0~24</t>
    <phoneticPr fontId="1" type="noConversion"/>
  </si>
  <si>
    <t>0~25</t>
    <phoneticPr fontId="1" type="noConversion"/>
  </si>
  <si>
    <t>垂泪藤</t>
    <phoneticPr fontId="1" type="noConversion"/>
  </si>
  <si>
    <t>缠怨藤</t>
    <phoneticPr fontId="1" type="noConversion"/>
  </si>
  <si>
    <t>age范围</t>
    <phoneticPr fontId="1" type="noConversion"/>
  </si>
  <si>
    <t>手放或收割后age范围</t>
    <phoneticPr fontId="1" type="noConversion"/>
  </si>
  <si>
    <t>自然生成的age范围</t>
    <phoneticPr fontId="1" type="noConversion"/>
  </si>
  <si>
    <t>20~23</t>
    <phoneticPr fontId="1" type="noConversion"/>
  </si>
  <si>
    <t>23~25</t>
    <phoneticPr fontId="1" type="noConversion"/>
  </si>
  <si>
    <t>17~25</t>
    <phoneticPr fontId="1" type="noConversion"/>
  </si>
  <si>
    <t>手放或收割后可生长多少格</t>
    <phoneticPr fontId="1" type="noConversion"/>
  </si>
  <si>
    <t>1~25</t>
    <phoneticPr fontId="1" type="noConversion"/>
  </si>
  <si>
    <t>结冰</t>
    <phoneticPr fontId="1" type="noConversion"/>
  </si>
  <si>
    <t>积雪</t>
    <phoneticPr fontId="1" type="noConversion"/>
  </si>
  <si>
    <t>1/60</t>
    <phoneticPr fontId="1" type="noConversion"/>
  </si>
  <si>
    <t>1/30</t>
    <phoneticPr fontId="1" type="noConversion"/>
  </si>
  <si>
    <t>1/3</t>
    <phoneticPr fontId="1" type="noConversion"/>
  </si>
  <si>
    <t>p(解析值)</t>
    <phoneticPr fontId="1" type="noConversion"/>
  </si>
  <si>
    <t>p(数值)</t>
    <phoneticPr fontId="1" type="noConversion"/>
  </si>
  <si>
    <t>(1/6)/5</t>
    <phoneticPr fontId="1" type="noConversion"/>
  </si>
  <si>
    <t>被随机刻选中有1/5的概率从六个面里选一个尝试增生</t>
    <phoneticPr fontId="1" type="noConversion"/>
  </si>
  <si>
    <t>1/10</t>
    <phoneticPr fontId="1" type="noConversion"/>
  </si>
  <si>
    <t>1/5</t>
    <phoneticPr fontId="1" type="noConversion"/>
  </si>
  <si>
    <t>只有向下的石锥尖部选中才有用</t>
    <phoneticPr fontId="1" type="noConversion"/>
  </si>
  <si>
    <t>小麦、胡萝卜、马铃薯</t>
    <phoneticPr fontId="1" type="noConversion"/>
  </si>
  <si>
    <t>甜菜</t>
    <phoneticPr fontId="1" type="noConversion"/>
  </si>
  <si>
    <t>火把花</t>
    <phoneticPr fontId="1" type="noConversion"/>
  </si>
  <si>
    <t>3x3全湿耕地，隔行种植，不隔行种植概率减半</t>
    <phoneticPr fontId="1" type="noConversion"/>
  </si>
  <si>
    <t>瓶子草</t>
    <phoneticPr fontId="1" type="noConversion"/>
  </si>
  <si>
    <t>\</t>
    <phoneticPr fontId="1" type="noConversion"/>
  </si>
  <si>
    <t>南瓜种子、西瓜种子</t>
    <phoneticPr fontId="1" type="noConversion"/>
  </si>
  <si>
    <t>age=0~1阶段无产量(只掉1个)，age=2产量为2(掉3个)。</t>
    <phoneticPr fontId="1" type="noConversion"/>
  </si>
  <si>
    <t>age=0~1阶段无产量，age=2产量1~2，age=3产量2~3；被采摘回到age=1</t>
    <phoneticPr fontId="1" type="noConversion"/>
  </si>
  <si>
    <t>阶段数</t>
    <phoneticPr fontId="1" type="noConversion"/>
  </si>
  <si>
    <t>阶段</t>
    <phoneticPr fontId="1" type="noConversion"/>
  </si>
  <si>
    <t>age=0~7</t>
    <phoneticPr fontId="1" type="noConversion"/>
  </si>
  <si>
    <t>age=0~3</t>
    <phoneticPr fontId="1" type="noConversion"/>
  </si>
  <si>
    <t>age=0~1, 成熟</t>
    <phoneticPr fontId="1" type="noConversion"/>
  </si>
  <si>
    <t>age=0~2, age=3~4</t>
    <phoneticPr fontId="1" type="noConversion"/>
  </si>
  <si>
    <t>无，小芽、中芽、大芽，簇</t>
    <phoneticPr fontId="1" type="noConversion"/>
  </si>
  <si>
    <t>age=0~2</t>
    <phoneticPr fontId="1" type="noConversion"/>
  </si>
  <si>
    <t>空，满</t>
    <phoneticPr fontId="1" type="noConversion"/>
  </si>
  <si>
    <t>空，level=1~3</t>
    <phoneticPr fontId="1" type="noConversion"/>
  </si>
  <si>
    <t>小蘑菇</t>
    <phoneticPr fontId="1" type="noConversion"/>
  </si>
  <si>
    <t>1/25</t>
    <phoneticPr fontId="1" type="noConversion"/>
  </si>
  <si>
    <t>备注</t>
    <phoneticPr fontId="1" type="noConversion"/>
  </si>
  <si>
    <t>9x3x9范围内超过4个时无法传播</t>
    <phoneticPr fontId="1" type="noConversion"/>
  </si>
  <si>
    <t>藤蔓</t>
    <phoneticPr fontId="1" type="noConversion"/>
  </si>
  <si>
    <t>1/4</t>
    <phoneticPr fontId="1" type="noConversion"/>
  </si>
  <si>
    <t>1/6的概率每个面各有一半的概率向下生长；1/6的概率每个面各有一半的概率向上生长(9x3x9范围内藤蔓少于4个)</t>
    <phoneticPr fontId="1" type="noConversion"/>
  </si>
  <si>
    <t>孤立铜块氧化速度</t>
    <phoneticPr fontId="1" type="noConversion"/>
  </si>
  <si>
    <t>孤立铜门氧化速度</t>
    <phoneticPr fontId="1" type="noConversion"/>
  </si>
  <si>
    <t>未生锈、斑驳、锈蚀、氧化</t>
    <phoneticPr fontId="1" type="noConversion"/>
  </si>
  <si>
    <t>64/1125</t>
    <phoneticPr fontId="1" type="noConversion"/>
  </si>
  <si>
    <t>(64/1125)/4</t>
    <phoneticPr fontId="1" type="noConversion"/>
  </si>
  <si>
    <t>铜门只有下半部分选中能氧化，但是统计周围的时候又包含上半部分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</si>
</sst>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NumberFormat="1" applyFont="1"/>
    <xf numFmtId="0" fontId="3" fillId="0" borderId="0" xfId="0" applyFont="1"/>
    <xf numFmtId="0" fontId="3" fillId="0" borderId="0" xfId="0" applyNumberFormat="1" applyFont="1" applyAlignment="1">
      <alignment horizontal="center" vertical="center"/>
    </xf>
    <xf numFmtId="0" fontId="3" fillId="0" borderId="0" xfId="0" quotePrefix="1" applyNumberFormat="1" applyFont="1" applyAlignment="1">
      <alignment horizontal="center" vertical="center"/>
    </xf>
    <xf numFmtId="0" fontId="3" fillId="0" borderId="0" xfId="0" applyNumberFormat="1" applyFont="1"/>
    <xf numFmtId="0" fontId="4" fillId="0" borderId="0" xfId="0" applyFont="1"/>
    <xf numFmtId="0" fontId="3" fillId="0" borderId="0" xfId="0" quotePrefix="1" applyNumberFormat="1" applyFont="1"/>
    <xf numFmtId="58" fontId="3" fillId="0" borderId="0" xfId="0" quotePrefix="1" applyNumberFormat="1" applyFont="1"/>
    <xf numFmtId="0" fontId="0" fillId="0" borderId="0" xfId="0" quotePrefix="1"/>
    <xf numFmtId="0" fontId="5" fillId="0" borderId="0" xfId="0" applyFont="1"/>
    <xf numFmtId="0" fontId="3" fillId="0" borderId="0" xfId="0" quotePrefix="1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19" sqref="F19"/>
    </sheetView>
  </sheetViews>
  <sheetFormatPr defaultRowHeight="15.6" x14ac:dyDescent="0.3"/>
  <cols>
    <col min="1" max="1" width="34.88671875" style="3" bestFit="1" customWidth="1"/>
    <col min="2" max="2" width="8.21875" style="3" bestFit="1" customWidth="1"/>
    <col min="3" max="3" width="30" style="6" bestFit="1" customWidth="1"/>
    <col min="4" max="4" width="13.5546875" style="6" bestFit="1" customWidth="1"/>
    <col min="5" max="5" width="15.44140625" style="6" bestFit="1" customWidth="1"/>
    <col min="6" max="6" width="80.44140625" style="3" bestFit="1" customWidth="1"/>
    <col min="7" max="16384" width="8.88671875" style="3"/>
  </cols>
  <sheetData>
    <row r="1" spans="1:6" s="1" customFormat="1" x14ac:dyDescent="0.3">
      <c r="A1" s="1" t="s">
        <v>0</v>
      </c>
      <c r="B1" s="1" t="s">
        <v>55</v>
      </c>
      <c r="C1" s="2" t="s">
        <v>56</v>
      </c>
      <c r="D1" s="2" t="s">
        <v>39</v>
      </c>
      <c r="E1" s="2" t="s">
        <v>40</v>
      </c>
    </row>
    <row r="2" spans="1:6" x14ac:dyDescent="0.3">
      <c r="A2" s="3" t="s">
        <v>46</v>
      </c>
      <c r="B2" s="3">
        <v>8</v>
      </c>
      <c r="C2" s="4" t="s">
        <v>57</v>
      </c>
      <c r="D2" s="12" t="s">
        <v>38</v>
      </c>
      <c r="E2" s="12">
        <f>1/3</f>
        <v>0.33333333333333331</v>
      </c>
      <c r="F2" s="14" t="s">
        <v>49</v>
      </c>
    </row>
    <row r="3" spans="1:6" x14ac:dyDescent="0.3">
      <c r="A3" s="3" t="s">
        <v>52</v>
      </c>
      <c r="B3" s="3">
        <v>8</v>
      </c>
      <c r="C3" s="4" t="s">
        <v>57</v>
      </c>
      <c r="D3" s="12"/>
      <c r="E3" s="12"/>
      <c r="F3" s="14"/>
    </row>
    <row r="4" spans="1:6" x14ac:dyDescent="0.3">
      <c r="A4" s="3" t="s">
        <v>47</v>
      </c>
      <c r="B4" s="3">
        <v>4</v>
      </c>
      <c r="C4" s="4" t="s">
        <v>58</v>
      </c>
      <c r="D4" s="13"/>
      <c r="E4" s="12"/>
      <c r="F4" s="14"/>
    </row>
    <row r="5" spans="1:6" x14ac:dyDescent="0.3">
      <c r="A5" s="3" t="s">
        <v>48</v>
      </c>
      <c r="B5" s="3">
        <v>3</v>
      </c>
      <c r="C5" s="4" t="s">
        <v>59</v>
      </c>
      <c r="D5" s="13"/>
      <c r="E5" s="12"/>
      <c r="F5" s="14"/>
    </row>
    <row r="6" spans="1:6" x14ac:dyDescent="0.3">
      <c r="A6" s="3" t="s">
        <v>50</v>
      </c>
      <c r="B6" s="3">
        <v>5</v>
      </c>
      <c r="C6" s="4" t="s">
        <v>60</v>
      </c>
      <c r="D6" s="13"/>
      <c r="E6" s="12"/>
      <c r="F6" s="14"/>
    </row>
    <row r="7" spans="1:6" x14ac:dyDescent="0.3">
      <c r="A7" s="3" t="s">
        <v>14</v>
      </c>
      <c r="B7" s="3">
        <v>4</v>
      </c>
      <c r="C7" s="4" t="s">
        <v>58</v>
      </c>
      <c r="D7" s="5" t="s">
        <v>43</v>
      </c>
      <c r="E7" s="4">
        <f>1/10</f>
        <v>0.1</v>
      </c>
    </row>
    <row r="8" spans="1:6" x14ac:dyDescent="0.3">
      <c r="A8" s="3" t="s">
        <v>17</v>
      </c>
      <c r="B8" s="3">
        <v>3</v>
      </c>
      <c r="C8" s="4" t="s">
        <v>62</v>
      </c>
      <c r="D8" s="5" t="s">
        <v>44</v>
      </c>
      <c r="E8" s="5">
        <f>1/5</f>
        <v>0.2</v>
      </c>
      <c r="F8" s="3" t="s">
        <v>53</v>
      </c>
    </row>
    <row r="9" spans="1:6" x14ac:dyDescent="0.3">
      <c r="A9" s="3" t="s">
        <v>18</v>
      </c>
      <c r="B9" s="3">
        <v>4</v>
      </c>
      <c r="C9" s="4" t="s">
        <v>58</v>
      </c>
      <c r="D9" s="5" t="s">
        <v>44</v>
      </c>
      <c r="E9" s="4">
        <f>1/5</f>
        <v>0.2</v>
      </c>
      <c r="F9" s="3" t="s">
        <v>54</v>
      </c>
    </row>
    <row r="10" spans="1:6" x14ac:dyDescent="0.3">
      <c r="A10" s="3" t="s">
        <v>4</v>
      </c>
      <c r="B10" s="3">
        <v>5</v>
      </c>
      <c r="C10" s="4" t="s">
        <v>61</v>
      </c>
      <c r="D10" s="5" t="s">
        <v>41</v>
      </c>
      <c r="E10" s="5">
        <f>1/30</f>
        <v>3.3333333333333333E-2</v>
      </c>
      <c r="F10" s="3" t="s">
        <v>42</v>
      </c>
    </row>
    <row r="11" spans="1:6" x14ac:dyDescent="0.3">
      <c r="C11" s="4"/>
      <c r="D11" s="4"/>
      <c r="E11" s="4"/>
    </row>
    <row r="12" spans="1:6" x14ac:dyDescent="0.3">
      <c r="A12" s="3" t="s">
        <v>9</v>
      </c>
      <c r="C12" s="4"/>
      <c r="D12" s="4" t="s">
        <v>11</v>
      </c>
      <c r="E12" s="4">
        <f>45/256</f>
        <v>0.17578125</v>
      </c>
    </row>
    <row r="13" spans="1:6" x14ac:dyDescent="0.3">
      <c r="A13" s="3" t="s">
        <v>6</v>
      </c>
      <c r="B13" s="3">
        <v>4</v>
      </c>
      <c r="C13" s="4" t="s">
        <v>64</v>
      </c>
      <c r="D13" s="4" t="s">
        <v>11</v>
      </c>
      <c r="E13" s="4">
        <f>45/256</f>
        <v>0.17578125</v>
      </c>
    </row>
    <row r="14" spans="1:6" x14ac:dyDescent="0.3">
      <c r="A14" s="3" t="s">
        <v>5</v>
      </c>
      <c r="B14" s="3">
        <v>2</v>
      </c>
      <c r="C14" s="4" t="s">
        <v>63</v>
      </c>
      <c r="D14" s="4" t="s">
        <v>12</v>
      </c>
      <c r="E14" s="4">
        <f>15/256</f>
        <v>5.859375E-2</v>
      </c>
    </row>
    <row r="15" spans="1:6" x14ac:dyDescent="0.3">
      <c r="C15" s="4"/>
      <c r="D15" s="4"/>
      <c r="E15" s="4"/>
    </row>
    <row r="16" spans="1:6" x14ac:dyDescent="0.3">
      <c r="A16" s="3" t="s">
        <v>10</v>
      </c>
      <c r="C16" s="4" t="s">
        <v>51</v>
      </c>
      <c r="D16" s="4" t="s">
        <v>13</v>
      </c>
      <c r="E16" s="4">
        <f>64/5625</f>
        <v>1.1377777777777778E-2</v>
      </c>
      <c r="F16" s="3" t="s">
        <v>45</v>
      </c>
    </row>
    <row r="18" spans="1:6" x14ac:dyDescent="0.3">
      <c r="A18" s="3" t="s">
        <v>72</v>
      </c>
      <c r="B18" s="3">
        <v>4</v>
      </c>
      <c r="C18" s="6" t="s">
        <v>74</v>
      </c>
      <c r="D18" s="6" t="s">
        <v>75</v>
      </c>
      <c r="E18" s="6">
        <f>64/1125</f>
        <v>5.6888888888888892E-2</v>
      </c>
    </row>
    <row r="19" spans="1:6" x14ac:dyDescent="0.3">
      <c r="A19" s="3" t="s">
        <v>73</v>
      </c>
      <c r="B19" s="3">
        <v>4</v>
      </c>
      <c r="C19" s="6" t="s">
        <v>74</v>
      </c>
      <c r="D19" s="6" t="s">
        <v>76</v>
      </c>
      <c r="E19" s="6">
        <f>(64/1125)/4</f>
        <v>1.4222222222222223E-2</v>
      </c>
      <c r="F19" s="3" t="s">
        <v>77</v>
      </c>
    </row>
  </sheetData>
  <mergeCells count="3">
    <mergeCell ref="D2:D6"/>
    <mergeCell ref="E2:E6"/>
    <mergeCell ref="F2:F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0F19-D9DA-4A78-8224-12F0CC5DB67A}">
  <dimension ref="A1:D3"/>
  <sheetViews>
    <sheetView workbookViewId="0"/>
  </sheetViews>
  <sheetFormatPr defaultRowHeight="13.8" x14ac:dyDescent="0.25"/>
  <cols>
    <col min="4" max="4" width="78.33203125" customWidth="1"/>
  </cols>
  <sheetData>
    <row r="1" spans="1:4" s="11" customFormat="1" x14ac:dyDescent="0.25">
      <c r="A1" s="11" t="s">
        <v>0</v>
      </c>
      <c r="B1" s="11" t="s">
        <v>39</v>
      </c>
      <c r="C1" s="11" t="s">
        <v>40</v>
      </c>
      <c r="D1" s="11" t="s">
        <v>67</v>
      </c>
    </row>
    <row r="2" spans="1:4" x14ac:dyDescent="0.25">
      <c r="A2" t="s">
        <v>65</v>
      </c>
      <c r="B2" s="10" t="s">
        <v>66</v>
      </c>
      <c r="C2">
        <f>1/25</f>
        <v>0.04</v>
      </c>
      <c r="D2" t="s">
        <v>68</v>
      </c>
    </row>
    <row r="3" spans="1:4" x14ac:dyDescent="0.25">
      <c r="A3" t="s">
        <v>69</v>
      </c>
      <c r="B3" s="10" t="s">
        <v>70</v>
      </c>
      <c r="C3">
        <f>1/4</f>
        <v>0.25</v>
      </c>
      <c r="D3" t="s">
        <v>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531CA-6398-4814-BAD9-953E9AD59F10}">
  <dimension ref="A1:D5"/>
  <sheetViews>
    <sheetView workbookViewId="0"/>
  </sheetViews>
  <sheetFormatPr defaultRowHeight="15.6" x14ac:dyDescent="0.3"/>
  <cols>
    <col min="1" max="1" width="15.33203125" style="7" bestFit="1" customWidth="1"/>
    <col min="2" max="2" width="6.109375" style="7" bestFit="1" customWidth="1"/>
    <col min="3" max="3" width="6.5546875" style="7" bestFit="1" customWidth="1"/>
    <col min="4" max="4" width="4" style="7" bestFit="1" customWidth="1"/>
    <col min="5" max="16384" width="8.88671875" style="7"/>
  </cols>
  <sheetData>
    <row r="1" spans="1:4" s="1" customFormat="1" x14ac:dyDescent="0.3">
      <c r="A1" s="1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7" t="s">
        <v>34</v>
      </c>
      <c r="B2" s="6"/>
      <c r="C2" s="6"/>
      <c r="D2" s="6"/>
    </row>
    <row r="3" spans="1:4" x14ac:dyDescent="0.3">
      <c r="A3" s="7" t="s">
        <v>35</v>
      </c>
      <c r="B3" s="6"/>
      <c r="C3" s="6"/>
      <c r="D3" s="6"/>
    </row>
    <row r="4" spans="1:4" x14ac:dyDescent="0.3">
      <c r="A4" s="7" t="s">
        <v>7</v>
      </c>
      <c r="B4" s="8" t="s">
        <v>36</v>
      </c>
      <c r="C4" s="6">
        <v>4</v>
      </c>
      <c r="D4" s="6"/>
    </row>
    <row r="5" spans="1:4" x14ac:dyDescent="0.3">
      <c r="A5" s="7" t="s">
        <v>8</v>
      </c>
      <c r="B5" s="9" t="s">
        <v>37</v>
      </c>
      <c r="C5" s="6">
        <v>4</v>
      </c>
      <c r="D5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0A14-25B8-461A-B682-E0D44E445B43}">
  <dimension ref="A1:E3"/>
  <sheetViews>
    <sheetView workbookViewId="0"/>
  </sheetViews>
  <sheetFormatPr defaultColWidth="14.6640625" defaultRowHeight="15.6" x14ac:dyDescent="0.3"/>
  <cols>
    <col min="1" max="1" width="8.21875" style="7" bestFit="1" customWidth="1"/>
    <col min="2" max="2" width="2.77734375" style="7" bestFit="1" customWidth="1"/>
    <col min="3" max="3" width="6.5546875" style="7" bestFit="1" customWidth="1"/>
    <col min="4" max="4" width="10.44140625" style="7" bestFit="1" customWidth="1"/>
    <col min="5" max="5" width="4" style="7" bestFit="1" customWidth="1"/>
    <col min="6" max="16384" width="14.6640625" style="7"/>
  </cols>
  <sheetData>
    <row r="1" spans="1:5" s="1" customFormat="1" x14ac:dyDescent="0.3">
      <c r="A1" s="1" t="s">
        <v>0</v>
      </c>
      <c r="B1" s="2" t="s">
        <v>2</v>
      </c>
      <c r="C1" s="2" t="s">
        <v>1</v>
      </c>
      <c r="D1" s="2" t="s">
        <v>21</v>
      </c>
      <c r="E1" s="2" t="s">
        <v>3</v>
      </c>
    </row>
    <row r="2" spans="1:5" x14ac:dyDescent="0.3">
      <c r="A2" s="7" t="s">
        <v>15</v>
      </c>
      <c r="B2" s="6">
        <v>1</v>
      </c>
      <c r="C2" s="6">
        <v>16</v>
      </c>
      <c r="D2" s="6">
        <v>3</v>
      </c>
      <c r="E2" s="6"/>
    </row>
    <row r="3" spans="1:5" x14ac:dyDescent="0.3">
      <c r="A3" s="7" t="s">
        <v>16</v>
      </c>
      <c r="B3" s="6">
        <v>1</v>
      </c>
      <c r="C3" s="6">
        <v>16</v>
      </c>
      <c r="D3" s="6">
        <v>3</v>
      </c>
      <c r="E3" s="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6301-2C6C-4C74-9DAC-4C9131A94EAB}">
  <dimension ref="A1:G5"/>
  <sheetViews>
    <sheetView workbookViewId="0"/>
  </sheetViews>
  <sheetFormatPr defaultRowHeight="15.6" x14ac:dyDescent="0.3"/>
  <cols>
    <col min="1" max="1" width="10.44140625" style="7" bestFit="1" customWidth="1"/>
    <col min="2" max="2" width="6.44140625" style="7" bestFit="1" customWidth="1"/>
    <col min="3" max="3" width="9.44140625" style="7" bestFit="1" customWidth="1"/>
    <col min="4" max="4" width="24" style="7" bestFit="1" customWidth="1"/>
    <col min="5" max="5" width="30" style="7" bestFit="1" customWidth="1"/>
    <col min="6" max="6" width="8.88671875" style="7"/>
    <col min="7" max="7" width="21.5546875" style="7" customWidth="1"/>
    <col min="8" max="16384" width="8.88671875" style="7"/>
  </cols>
  <sheetData>
    <row r="1" spans="1:7" s="1" customFormat="1" x14ac:dyDescent="0.3">
      <c r="A1" s="1" t="s">
        <v>0</v>
      </c>
      <c r="B1" s="2" t="s">
        <v>2</v>
      </c>
      <c r="C1" s="2" t="s">
        <v>26</v>
      </c>
      <c r="D1" s="2" t="s">
        <v>27</v>
      </c>
      <c r="E1" s="2" t="s">
        <v>32</v>
      </c>
      <c r="G1" s="2" t="s">
        <v>28</v>
      </c>
    </row>
    <row r="2" spans="1:7" x14ac:dyDescent="0.3">
      <c r="A2" s="7" t="s">
        <v>20</v>
      </c>
      <c r="B2" s="7">
        <f>0.14</f>
        <v>0.14000000000000001</v>
      </c>
      <c r="C2" s="7" t="s">
        <v>23</v>
      </c>
      <c r="D2" s="7" t="s">
        <v>22</v>
      </c>
      <c r="E2" s="7" t="s">
        <v>33</v>
      </c>
      <c r="G2" s="7" t="s">
        <v>29</v>
      </c>
    </row>
    <row r="3" spans="1:7" x14ac:dyDescent="0.3">
      <c r="A3" s="7" t="s">
        <v>19</v>
      </c>
      <c r="B3" s="7">
        <f>0.1</f>
        <v>0.1</v>
      </c>
      <c r="C3" s="7" t="s">
        <v>23</v>
      </c>
      <c r="D3" s="7" t="s">
        <v>22</v>
      </c>
      <c r="E3" s="7" t="s">
        <v>33</v>
      </c>
      <c r="G3" s="7" t="s">
        <v>30</v>
      </c>
    </row>
    <row r="4" spans="1:7" x14ac:dyDescent="0.3">
      <c r="A4" s="7" t="s">
        <v>24</v>
      </c>
      <c r="B4" s="7">
        <f>0.1</f>
        <v>0.1</v>
      </c>
      <c r="C4" s="7" t="s">
        <v>23</v>
      </c>
      <c r="D4" s="7" t="s">
        <v>22</v>
      </c>
      <c r="E4" s="7" t="s">
        <v>33</v>
      </c>
      <c r="G4" s="7" t="s">
        <v>30</v>
      </c>
    </row>
    <row r="5" spans="1:7" x14ac:dyDescent="0.3">
      <c r="A5" s="7" t="s">
        <v>25</v>
      </c>
      <c r="B5" s="7">
        <f>0.1</f>
        <v>0.1</v>
      </c>
      <c r="C5" s="7" t="s">
        <v>23</v>
      </c>
      <c r="D5" s="7" t="s">
        <v>22</v>
      </c>
      <c r="E5" s="7" t="s">
        <v>33</v>
      </c>
      <c r="G5" s="7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普通类</vt:lpstr>
      <vt:lpstr>单阶段</vt:lpstr>
      <vt:lpstr>降水类</vt:lpstr>
      <vt:lpstr>甘蔗类</vt:lpstr>
      <vt:lpstr>海带类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2024-11-15T13:17:44Z</dcterms:modified>
</cp:coreProperties>
</file>